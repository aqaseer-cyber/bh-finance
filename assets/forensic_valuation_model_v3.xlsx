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a07766316ebc2f8/Investing/Institutional Forensic Analysis 2026/Project Skills/"/>
    </mc:Choice>
  </mc:AlternateContent>
  <xr:revisionPtr revIDLastSave="24" documentId="11_AFE01F2358A9D5A263FD441644D8EE1382E087C1" xr6:coauthVersionLast="47" xr6:coauthVersionMax="47" xr10:uidLastSave="{ED478090-1AAB-40A9-AD94-0F76C545FCDD}"/>
  <bookViews>
    <workbookView xWindow="-120" yWindow="-120" windowWidth="28035" windowHeight="16440" tabRatio="500" xr2:uid="{00000000-000D-0000-FFFF-FFFF00000000}"/>
  </bookViews>
  <sheets>
    <sheet name="Control" sheetId="1" r:id="rId1"/>
    <sheet name="Phase1_Anchor" sheetId="2" r:id="rId2"/>
    <sheet name="Phase2_UnitEcon" sheetId="3" r:id="rId3"/>
    <sheet name="Phase3_Forensic" sheetId="4" r:id="rId4"/>
    <sheet name="WACC_Build" sheetId="5" r:id="rId5"/>
    <sheet name="FCFF_DCF" sheetId="6" r:id="rId6"/>
    <sheet name="Val_Fin_RI" sheetId="7" r:id="rId7"/>
    <sheet name="Val_REIT_NAV" sheetId="8" r:id="rId8"/>
    <sheet name="Phase5_Verdic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0" i="9" l="1"/>
  <c r="B39" i="9"/>
  <c r="B31" i="9"/>
  <c r="B9" i="9"/>
  <c r="B8" i="9"/>
  <c r="B7" i="9"/>
  <c r="B6" i="9"/>
  <c r="B18" i="8"/>
  <c r="C16" i="8"/>
  <c r="C12" i="8"/>
  <c r="C10" i="8"/>
  <c r="C9" i="8"/>
  <c r="C8" i="8"/>
  <c r="B7" i="8"/>
  <c r="C5" i="8"/>
  <c r="B17" i="7"/>
  <c r="C13" i="7"/>
  <c r="B13" i="7"/>
  <c r="B44" i="6"/>
  <c r="B32" i="6"/>
  <c r="C30" i="6"/>
  <c r="B30" i="6"/>
  <c r="B29" i="6"/>
  <c r="B28" i="6"/>
  <c r="B15" i="6"/>
  <c r="B12" i="6"/>
  <c r="B16" i="5"/>
  <c r="B12" i="5"/>
  <c r="B7" i="5"/>
  <c r="B32" i="4"/>
  <c r="B23" i="4"/>
  <c r="B22" i="4"/>
  <c r="B7" i="4"/>
  <c r="C50" i="3"/>
  <c r="C49" i="3"/>
  <c r="C48" i="3"/>
  <c r="C47" i="3"/>
  <c r="B34" i="3"/>
  <c r="B29" i="3"/>
  <c r="B25" i="3"/>
  <c r="B21" i="3"/>
  <c r="D11" i="3"/>
  <c r="B8" i="3"/>
  <c r="B16" i="2"/>
  <c r="B8" i="2"/>
  <c r="B66" i="1"/>
  <c r="B57" i="1"/>
  <c r="B54" i="1"/>
  <c r="B51" i="1"/>
  <c r="B46" i="1"/>
  <c r="C45" i="1"/>
  <c r="B45" i="1"/>
  <c r="B44" i="1"/>
  <c r="B43" i="1"/>
  <c r="B42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B15" i="1"/>
  <c r="B5" i="9" l="1"/>
  <c r="B4" i="9"/>
  <c r="C18" i="8"/>
  <c r="C17" i="7"/>
  <c r="D17" i="7" s="1"/>
  <c r="E17" i="7" s="1"/>
  <c r="F17" i="7" s="1"/>
  <c r="D13" i="7"/>
  <c r="E13" i="7" s="1"/>
  <c r="F13" i="7" s="1"/>
  <c r="B45" i="6"/>
  <c r="C28" i="6"/>
  <c r="B27" i="6"/>
  <c r="C27" i="6" s="1"/>
  <c r="C6" i="3"/>
  <c r="E62" i="1"/>
  <c r="E44" i="9"/>
  <c r="C44" i="9"/>
  <c r="C7" i="8"/>
  <c r="C11" i="8" s="1"/>
  <c r="C13" i="8" s="1"/>
  <c r="B15" i="5"/>
  <c r="B24" i="4"/>
  <c r="B8" i="4"/>
  <c r="C7" i="3"/>
  <c r="C5" i="3"/>
  <c r="C8" i="3" s="1"/>
  <c r="C62" i="1"/>
  <c r="B55" i="1"/>
  <c r="B52" i="1"/>
  <c r="B11" i="8"/>
  <c r="B13" i="8" s="1"/>
  <c r="C15" i="6"/>
  <c r="C12" i="6"/>
  <c r="B26" i="5"/>
  <c r="B27" i="5" s="1"/>
  <c r="B33" i="4"/>
  <c r="B34" i="4" s="1"/>
  <c r="D62" i="1"/>
  <c r="B62" i="1"/>
  <c r="F44" i="9"/>
  <c r="D44" i="9"/>
  <c r="B44" i="9"/>
  <c r="B5" i="7"/>
  <c r="C44" i="6"/>
  <c r="C45" i="6" s="1"/>
  <c r="C32" i="6"/>
  <c r="C29" i="6"/>
  <c r="E45" i="9" l="1"/>
  <c r="E46" i="9" s="1"/>
  <c r="E47" i="9" s="1"/>
  <c r="E48" i="9" s="1"/>
  <c r="E49" i="9" s="1"/>
  <c r="E50" i="9" s="1"/>
  <c r="E51" i="9" s="1"/>
  <c r="E52" i="9" s="1"/>
  <c r="E53" i="9" s="1"/>
  <c r="C45" i="9"/>
  <c r="C46" i="9" s="1"/>
  <c r="C47" i="9" s="1"/>
  <c r="C48" i="9" s="1"/>
  <c r="C49" i="9" s="1"/>
  <c r="C50" i="9" s="1"/>
  <c r="C51" i="9" s="1"/>
  <c r="C52" i="9" s="1"/>
  <c r="C53" i="9" s="1"/>
  <c r="B17" i="5"/>
  <c r="B19" i="5" s="1"/>
  <c r="B18" i="5"/>
  <c r="B22" i="5" s="1"/>
  <c r="D15" i="6"/>
  <c r="D12" i="6"/>
  <c r="F45" i="9"/>
  <c r="F46" i="9" s="1"/>
  <c r="F47" i="9" s="1"/>
  <c r="F48" i="9" s="1"/>
  <c r="F49" i="9" s="1"/>
  <c r="F50" i="9" s="1"/>
  <c r="F51" i="9" s="1"/>
  <c r="F52" i="9" s="1"/>
  <c r="F53" i="9" s="1"/>
  <c r="D45" i="9"/>
  <c r="D46" i="9" s="1"/>
  <c r="D47" i="9" s="1"/>
  <c r="D48" i="9" s="1"/>
  <c r="D49" i="9" s="1"/>
  <c r="D50" i="9" s="1"/>
  <c r="D51" i="9" s="1"/>
  <c r="D52" i="9" s="1"/>
  <c r="D53" i="9" s="1"/>
  <c r="B45" i="9"/>
  <c r="B46" i="9" s="1"/>
  <c r="B47" i="9" s="1"/>
  <c r="B48" i="9" s="1"/>
  <c r="B49" i="9" s="1"/>
  <c r="B50" i="9" s="1"/>
  <c r="B51" i="9" s="1"/>
  <c r="B52" i="9" s="1"/>
  <c r="B53" i="9" s="1"/>
  <c r="B14" i="7"/>
  <c r="B15" i="7" s="1"/>
  <c r="E14" i="7"/>
  <c r="E15" i="7" s="1"/>
  <c r="D18" i="7"/>
  <c r="D19" i="7" s="1"/>
  <c r="E18" i="7"/>
  <c r="E19" i="7" s="1"/>
  <c r="B29" i="7"/>
  <c r="C14" i="7"/>
  <c r="C15" i="7" s="1"/>
  <c r="D14" i="7"/>
  <c r="D15" i="7" s="1"/>
  <c r="F14" i="7"/>
  <c r="B18" i="7"/>
  <c r="B19" i="7" s="1"/>
  <c r="C18" i="7"/>
  <c r="C19" i="7" s="1"/>
  <c r="F18" i="7"/>
  <c r="C46" i="1" l="1"/>
  <c r="B58" i="1"/>
  <c r="B59" i="1" s="1"/>
  <c r="B10" i="9"/>
  <c r="B7" i="6"/>
  <c r="E15" i="6"/>
  <c r="E12" i="6"/>
  <c r="F15" i="7"/>
  <c r="B23" i="7"/>
  <c r="F19" i="7"/>
  <c r="C24" i="7" s="1"/>
  <c r="C25" i="7" s="1"/>
  <c r="C23" i="7"/>
  <c r="B24" i="7"/>
  <c r="B25" i="7" s="1"/>
  <c r="A14" i="9" l="1"/>
  <c r="A15" i="9"/>
  <c r="A16" i="9"/>
  <c r="A17" i="9"/>
  <c r="A18" i="9"/>
  <c r="B13" i="6"/>
  <c r="B14" i="6" s="1"/>
  <c r="E13" i="6"/>
  <c r="H13" i="6"/>
  <c r="C7" i="6"/>
  <c r="B8" i="6"/>
  <c r="D13" i="6"/>
  <c r="D14" i="6" s="1"/>
  <c r="G13" i="6"/>
  <c r="J13" i="6"/>
  <c r="C13" i="6"/>
  <c r="C14" i="6" s="1"/>
  <c r="F13" i="6"/>
  <c r="I13" i="6"/>
  <c r="K13" i="6"/>
  <c r="B37" i="6"/>
  <c r="F15" i="6"/>
  <c r="F12" i="6"/>
  <c r="E14" i="6"/>
  <c r="B14" i="9" l="1"/>
  <c r="C14" i="9"/>
  <c r="D14" i="9"/>
  <c r="E14" i="9"/>
  <c r="B15" i="9"/>
  <c r="C15" i="9"/>
  <c r="E15" i="9"/>
  <c r="D15" i="9"/>
  <c r="D16" i="9"/>
  <c r="B16" i="9"/>
  <c r="E16" i="9"/>
  <c r="C16" i="9"/>
  <c r="C17" i="9"/>
  <c r="B17" i="9"/>
  <c r="D17" i="9"/>
  <c r="E17" i="9"/>
  <c r="C18" i="9"/>
  <c r="D18" i="9"/>
  <c r="E18" i="9"/>
  <c r="B18" i="9"/>
  <c r="C16" i="6"/>
  <c r="C17" i="6" s="1"/>
  <c r="E16" i="6"/>
  <c r="E17" i="6" s="1"/>
  <c r="H16" i="6"/>
  <c r="K16" i="6"/>
  <c r="B16" i="6"/>
  <c r="B17" i="6" s="1"/>
  <c r="F16" i="6"/>
  <c r="J16" i="6"/>
  <c r="B41" i="9"/>
  <c r="C37" i="6"/>
  <c r="C8" i="6"/>
  <c r="D16" i="6"/>
  <c r="D17" i="6" s="1"/>
  <c r="G16" i="6"/>
  <c r="I16" i="6"/>
  <c r="G15" i="6"/>
  <c r="F17" i="6"/>
  <c r="G12" i="6"/>
  <c r="F14" i="6"/>
  <c r="C55" i="9" l="1"/>
  <c r="C56" i="9" s="1"/>
  <c r="F55" i="9"/>
  <c r="F56" i="9" s="1"/>
  <c r="E55" i="9"/>
  <c r="E56" i="9" s="1"/>
  <c r="D55" i="9"/>
  <c r="D56" i="9" s="1"/>
  <c r="B55" i="9"/>
  <c r="B56" i="9" s="1"/>
  <c r="H49" i="9"/>
  <c r="H45" i="9"/>
  <c r="H46" i="9"/>
  <c r="H51" i="9"/>
  <c r="H53" i="9"/>
  <c r="H44" i="9"/>
  <c r="H47" i="9"/>
  <c r="H48" i="9"/>
  <c r="H50" i="9"/>
  <c r="H52" i="9"/>
  <c r="G17" i="6"/>
  <c r="H15" i="6"/>
  <c r="G14" i="6"/>
  <c r="H12" i="6"/>
  <c r="B54" i="9" l="1"/>
  <c r="B57" i="9" s="1"/>
  <c r="B58" i="9" s="1"/>
  <c r="B59" i="9" s="1"/>
  <c r="B60" i="9" s="1"/>
  <c r="D54" i="9"/>
  <c r="D57" i="9" s="1"/>
  <c r="D58" i="9" s="1"/>
  <c r="D59" i="9" s="1"/>
  <c r="D60" i="9" s="1"/>
  <c r="E54" i="9"/>
  <c r="E57" i="9" s="1"/>
  <c r="E58" i="9" s="1"/>
  <c r="E59" i="9" s="1"/>
  <c r="E60" i="9" s="1"/>
  <c r="F54" i="9"/>
  <c r="F57" i="9" s="1"/>
  <c r="F58" i="9" s="1"/>
  <c r="F59" i="9" s="1"/>
  <c r="F60" i="9" s="1"/>
  <c r="C54" i="9"/>
  <c r="C57" i="9" s="1"/>
  <c r="C58" i="9" s="1"/>
  <c r="C59" i="9" s="1"/>
  <c r="C60" i="9" s="1"/>
  <c r="I15" i="6"/>
  <c r="H17" i="6"/>
  <c r="I12" i="6"/>
  <c r="H14" i="6"/>
  <c r="I17" i="6" l="1"/>
  <c r="J15" i="6"/>
  <c r="J12" i="6"/>
  <c r="I14" i="6"/>
  <c r="J17" i="6" l="1"/>
  <c r="K15" i="6"/>
  <c r="K12" i="6"/>
  <c r="J14" i="6"/>
  <c r="C22" i="6" l="1"/>
  <c r="C23" i="6" s="1"/>
  <c r="K17" i="6"/>
  <c r="C21" i="6" s="1"/>
  <c r="C24" i="6" s="1"/>
  <c r="C38" i="6"/>
  <c r="B22" i="6"/>
  <c r="B23" i="6" s="1"/>
  <c r="B38" i="6"/>
  <c r="K14" i="6"/>
  <c r="B21" i="6" s="1"/>
  <c r="B24" i="9" l="1"/>
  <c r="C31" i="6"/>
  <c r="C33" i="6" s="1"/>
  <c r="B24" i="6"/>
  <c r="C36" i="6"/>
  <c r="B17" i="1" l="1"/>
  <c r="B23" i="9"/>
  <c r="B25" i="9" s="1"/>
  <c r="B29" i="9"/>
  <c r="B36" i="6"/>
  <c r="B31" i="6"/>
  <c r="B33" i="6" s="1"/>
  <c r="B28" i="9" l="1"/>
  <c r="B30" i="9" s="1"/>
  <c r="B32" i="9" s="1"/>
  <c r="B16" i="1"/>
  <c r="B18" i="1" s="1"/>
  <c r="B19" i="1" s="1"/>
  <c r="B65" i="1" s="1"/>
  <c r="B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7" authorId="0" shapeId="0" xr:uid="{00000000-0006-0000-0000-000001000000}">
      <text>
        <r>
          <rPr>
            <sz val="10"/>
            <rFont val="Arial"/>
            <family val="2"/>
          </rPr>
          <t>ASSUMPTION; long-run nominal GDP cap</t>
        </r>
      </text>
    </comment>
    <comment ref="B50" authorId="0" shapeId="0" xr:uid="{00000000-0006-0000-0000-000002000000}">
      <text>
        <r>
          <rPr>
            <sz val="10"/>
            <rFont val="Arial"/>
            <family val="2"/>
          </rPr>
          <t>filing diluted EPS; tie to model</t>
        </r>
      </text>
    </comment>
    <comment ref="B53" authorId="0" shapeId="0" xr:uid="{00000000-0006-0000-0000-000003000000}">
      <text>
        <r>
          <rPr>
            <sz val="10"/>
            <rFont val="Arial"/>
            <family val="2"/>
          </rPr>
          <t>2 sources; tie to price x diluted shares</t>
        </r>
      </text>
    </comment>
    <comment ref="B60" authorId="0" shapeId="0" xr:uid="{00000000-0006-0000-0000-000004000000}">
      <text>
        <r>
          <rPr>
            <sz val="10"/>
            <rFont val="Arial"/>
            <family val="2"/>
          </rPr>
          <t>for EV/EBITDA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7" authorId="0" shapeId="0" xr:uid="{00000000-0006-0000-0200-000001000000}">
      <text>
        <r>
          <rPr>
            <sz val="10"/>
            <rFont val="Arial"/>
            <family val="2"/>
          </rPr>
          <t>ASSUMPTION/filing; per disclosure</t>
        </r>
      </text>
    </comment>
    <comment ref="B48" authorId="0" shapeId="0" xr:uid="{00000000-0006-0000-0200-000002000000}">
      <text>
        <r>
          <rPr>
            <sz val="10"/>
            <rFont val="Arial"/>
            <family val="2"/>
          </rPr>
          <t>ASSUMPTION/filing; per disclosure</t>
        </r>
      </text>
    </comment>
    <comment ref="B49" authorId="0" shapeId="0" xr:uid="{00000000-0006-0000-0200-000003000000}">
      <text>
        <r>
          <rPr>
            <sz val="10"/>
            <rFont val="Arial"/>
            <family val="2"/>
          </rPr>
          <t>ASSUMPTION/filing; per disclosure</t>
        </r>
      </text>
    </comment>
    <comment ref="B50" authorId="0" shapeId="0" xr:uid="{00000000-0006-0000-0200-000004000000}">
      <text>
        <r>
          <rPr>
            <sz val="10"/>
            <rFont val="Arial"/>
            <family val="2"/>
          </rPr>
          <t>ASSUMPTION/filing; per disclosure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5" authorId="0" shapeId="0" xr:uid="{00000000-0006-0000-0400-000001000000}">
      <text>
        <r>
          <rPr>
            <sz val="10"/>
            <rFont val="Arial"/>
            <family val="2"/>
          </rPr>
          <t>ASSUMPTION; sector unlevered beta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500-000001000000}">
      <text>
        <r>
          <rPr>
            <sz val="10"/>
            <rFont val="Arial"/>
            <family val="2"/>
          </rPr>
          <t>Base FCFF yr0 (Track A). 2-STAGE 10-YR FADE: stage-1 growth g0 (B9) fades linearly to terminal g (B6) over 10 yrs; TV off yr10. Build as NOPAT+D&amp;A-capex-dNWC.</t>
        </r>
      </text>
    </comment>
    <comment ref="C6" authorId="0" shapeId="0" xr:uid="{00000000-0006-0000-0500-000005000000}">
      <text>
        <r>
          <rPr>
            <sz val="10"/>
            <rFont val="Arial"/>
            <family val="2"/>
          </rPr>
          <t>Terminal growth (yr10+). Hard cap: &lt;= nominal GDP ~3.5% AND &lt;= r_f; always WACC &gt; g.</t>
        </r>
      </text>
    </comment>
    <comment ref="B9" authorId="0" shapeId="0" xr:uid="{00000000-0006-0000-0500-000002000000}">
      <text>
        <r>
          <rPr>
            <sz val="10"/>
            <rFont val="Arial"/>
            <family val="2"/>
          </rPr>
          <t>Stage-1 (yr1) explicit growth; fades linearly to terminal g (B6) by yr10. Set high for growth names.</t>
        </r>
      </text>
    </comment>
    <comment ref="C9" authorId="0" shapeId="0" xr:uid="{00000000-0006-0000-0500-000006000000}">
      <text>
        <r>
          <rPr>
            <sz val="10"/>
            <rFont val="Arial"/>
            <family val="2"/>
          </rPr>
          <t>Stage-1 (yr1) explicit growth, Track B; fades to terminal g (C6).</t>
        </r>
      </text>
    </comment>
    <comment ref="B42" authorId="0" shapeId="0" xr:uid="{00000000-0006-0000-0500-000003000000}">
      <text>
        <r>
          <rPr>
            <sz val="10"/>
            <rFont val="Arial"/>
            <family val="2"/>
          </rPr>
          <t>ASSUMPTION placeholder; through-cycle OCF</t>
        </r>
      </text>
    </comment>
    <comment ref="C42" authorId="0" shapeId="0" xr:uid="{00000000-0006-0000-0500-000007000000}">
      <text>
        <r>
          <rPr>
            <sz val="10"/>
            <rFont val="Arial"/>
            <family val="2"/>
          </rPr>
          <t>ASSUMPTION placeholder; through-cycle OCF</t>
        </r>
      </text>
    </comment>
    <comment ref="B43" authorId="0" shapeId="0" xr:uid="{00000000-0006-0000-0500-000004000000}">
      <text>
        <r>
          <rPr>
            <sz val="10"/>
            <rFont val="Arial"/>
            <family val="2"/>
          </rPr>
          <t>ASSUMPTION; through-cycle (not peak) capex</t>
        </r>
      </text>
    </comment>
    <comment ref="C43" authorId="0" shapeId="0" xr:uid="{00000000-0006-0000-0500-000008000000}">
      <text>
        <r>
          <rPr>
            <sz val="10"/>
            <rFont val="Arial"/>
            <family val="2"/>
          </rPr>
          <t>ASSUMPTION; through-cycle (not peak) capex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2" authorId="0" shapeId="0" xr:uid="{00000000-0006-0000-0800-000001000000}">
      <text>
        <r>
          <rPr>
            <sz val="10"/>
            <rFont val="Arial"/>
            <family val="2"/>
          </rPr>
          <t>scenario axis; one col must equal live FCFF_DCF!C9</t>
        </r>
      </text>
    </comment>
    <comment ref="C42" authorId="0" shapeId="0" xr:uid="{00000000-0006-0000-0800-000002000000}">
      <text>
        <r>
          <rPr>
            <sz val="10"/>
            <rFont val="Arial"/>
            <family val="2"/>
          </rPr>
          <t>scenario axis; one col must equal live FCFF_DCF!C9</t>
        </r>
      </text>
    </comment>
    <comment ref="D42" authorId="0" shapeId="0" xr:uid="{00000000-0006-0000-0800-000003000000}">
      <text>
        <r>
          <rPr>
            <sz val="10"/>
            <rFont val="Arial"/>
            <family val="2"/>
          </rPr>
          <t>scenario axis; one col must equal live FCFF_DCF!C9</t>
        </r>
      </text>
    </comment>
    <comment ref="E42" authorId="0" shapeId="0" xr:uid="{00000000-0006-0000-0800-000004000000}">
      <text>
        <r>
          <rPr>
            <sz val="10"/>
            <rFont val="Arial"/>
            <family val="2"/>
          </rPr>
          <t>scenario axis; one col must equal live FCFF_DCF!C9</t>
        </r>
      </text>
    </comment>
    <comment ref="F42" authorId="0" shapeId="0" xr:uid="{00000000-0006-0000-0800-000005000000}">
      <text>
        <r>
          <rPr>
            <sz val="10"/>
            <rFont val="Arial"/>
            <family val="2"/>
          </rPr>
          <t>scenario axis; one col must equal live FCFF_DCF!C9</t>
        </r>
      </text>
    </comment>
  </commentList>
</comments>
</file>

<file path=xl/sharedStrings.xml><?xml version="1.0" encoding="utf-8"?>
<sst xmlns="http://schemas.openxmlformats.org/spreadsheetml/2006/main" count="361" uniqueCount="327">
  <si>
    <t>FORENSIC VALUATION MODEL  —  CONTROL &amp; SUMMARY</t>
  </si>
  <si>
    <t>Legend:</t>
  </si>
  <si>
    <t>Blue = input (overwrite)</t>
  </si>
  <si>
    <t>Green = cross-sheet link</t>
  </si>
  <si>
    <t>Black = formula</t>
  </si>
  <si>
    <t>Yellow = refresh each analysis</t>
  </si>
  <si>
    <t>ENGAGEMENT</t>
  </si>
  <si>
    <t>Ticker</t>
  </si>
  <si>
    <t>XMPL</t>
  </si>
  <si>
    <t>Company</t>
  </si>
  <si>
    <t>Example Co.  (PLACEHOLDER — overwrite all blue cells)</t>
  </si>
  <si>
    <t>Sector / Logic Track</t>
  </si>
  <si>
    <t>Standard</t>
  </si>
  <si>
    <t>Analysis date</t>
  </si>
  <si>
    <t>2026-05-29</t>
  </si>
  <si>
    <t>Currency / units</t>
  </si>
  <si>
    <t>USD, $mm unless /sh</t>
  </si>
  <si>
    <t>SUMMARY DASHBOARD</t>
  </si>
  <si>
    <t>Metric</t>
  </si>
  <si>
    <t>Value</t>
  </si>
  <si>
    <t>Current price  P0  ($/sh)</t>
  </si>
  <si>
    <t>Fair Value — Track A  ($/sh)</t>
  </si>
  <si>
    <t>Fair Value — Track B  ($/sh)</t>
  </si>
  <si>
    <t>Fair Value — average  ($/sh)</t>
  </si>
  <si>
    <t>Margin of Safety</t>
  </si>
  <si>
    <t>Institutional rating</t>
  </si>
  <si>
    <t>Hold</t>
  </si>
  <si>
    <t>NOTE: dashboard links default to the Standard FCFF track (FCFF_DCF).</t>
  </si>
  <si>
    <t>If track = Banks/Insurance, repoint B16:B17 to Val_Fin_RI!B25/C25.</t>
  </si>
  <si>
    <t>If track = REIT, repoint B16:B17 to Val_REIT_NAV!B13/C13.</t>
  </si>
  <si>
    <t>VALUATION METHOD BY TRACK</t>
  </si>
  <si>
    <t>Track</t>
  </si>
  <si>
    <t>Method / tab</t>
  </si>
  <si>
    <t>FCFF DCF → equity bridge  (FCFF_DCF)</t>
  </si>
  <si>
    <t>Banks / Insurance</t>
  </si>
  <si>
    <t>Residual income / DDM at r_e  (Val_Fin_RI)</t>
  </si>
  <si>
    <t>REIT</t>
  </si>
  <si>
    <t>NAV + AFFO-yield  (Val_REIT_NAV)</t>
  </si>
  <si>
    <t>FORWARD DRIVERS  (estimated forward)</t>
  </si>
  <si>
    <t>Stage-1 growth g0</t>
  </si>
  <si>
    <t>Terminal growth g</t>
  </si>
  <si>
    <t>Base FCFF yr0 ($mm)</t>
  </si>
  <si>
    <t>Normalized OCF ($mm)</t>
  </si>
  <si>
    <t>Normalized capex ($mm)</t>
  </si>
  <si>
    <t>Through-cycle ROE (fin)</t>
  </si>
  <si>
    <t>Cap rate (REIT)</t>
  </si>
  <si>
    <t>KEY ASSUMPTIONS</t>
  </si>
  <si>
    <t>Risk-free r_f  (refresh)</t>
  </si>
  <si>
    <t>Equity risk premium ERP  (refresh)</t>
  </si>
  <si>
    <t>Beta (relevered)</t>
  </si>
  <si>
    <t>Pre-tax r_d / tax t</t>
  </si>
  <si>
    <t>r_e / WACC</t>
  </si>
  <si>
    <t>Terminal-g cap (GDP &amp; &lt;= r_f)</t>
  </si>
  <si>
    <t>SCALE TIES &amp; CROSS-CHECKS</t>
  </si>
  <si>
    <t>Reported diluted EPS ($)</t>
  </si>
  <si>
    <t>Computed EPS (NI/diluted)</t>
  </si>
  <si>
    <t>EPS tie</t>
  </si>
  <si>
    <t>Third-party market cap ($mm)</t>
  </si>
  <si>
    <t>Model market cap ($mm)</t>
  </si>
  <si>
    <t>Market-cap tie</t>
  </si>
  <si>
    <t>EV (market) ($mm)</t>
  </si>
  <si>
    <t>Reverse-DCF g_implied</t>
  </si>
  <si>
    <t>g_implied vs cap</t>
  </si>
  <si>
    <t>D&amp;A ($mm)</t>
  </si>
  <si>
    <t>Multiple:</t>
  </si>
  <si>
    <t>EV/EBIT</t>
  </si>
  <si>
    <t>EV/EBITDA</t>
  </si>
  <si>
    <t>EV/Sales</t>
  </si>
  <si>
    <t>P/E</t>
  </si>
  <si>
    <t>RATING COHERENCE</t>
  </si>
  <si>
    <t>Margin of safety</t>
  </si>
  <si>
    <t>Coherence flag</t>
  </si>
  <si>
    <t>PHASE 1  —  DATA ANCHORING</t>
  </si>
  <si>
    <t>MARKET DATA</t>
  </si>
  <si>
    <t>Source / note</t>
  </si>
  <si>
    <t>[REFRESH] live quote, analysis date</t>
  </si>
  <si>
    <t>Shares — basic (mm)</t>
  </si>
  <si>
    <t>10-Q cover</t>
  </si>
  <si>
    <t>Shares — diluted (mm)</t>
  </si>
  <si>
    <t>10-Q, diluted WASO</t>
  </si>
  <si>
    <t>Market cap ($mm)</t>
  </si>
  <si>
    <t>price x diluted shares</t>
  </si>
  <si>
    <t>52-week high ($)</t>
  </si>
  <si>
    <t>52-week low ($)</t>
  </si>
  <si>
    <t>EQUITY BRIDGE ITEMS ($mm)</t>
  </si>
  <si>
    <t>Total debt</t>
  </si>
  <si>
    <t>B/S, latest 10-Q</t>
  </si>
  <si>
    <t>Cash &amp; equivalents</t>
  </si>
  <si>
    <t>B/S</t>
  </si>
  <si>
    <t>Net debt</t>
  </si>
  <si>
    <t>total debt less cash</t>
  </si>
  <si>
    <t>Minority interest</t>
  </si>
  <si>
    <t>Preferred equity</t>
  </si>
  <si>
    <t>Non-operating investments</t>
  </si>
  <si>
    <t>equity-method / securities</t>
  </si>
  <si>
    <t>PRIMARY SOURCE ANCHOR</t>
  </si>
  <si>
    <t>Latest 10-K — filing date</t>
  </si>
  <si>
    <t>FY2025 10-K  —  [date]</t>
  </si>
  <si>
    <t>Latest 10-Q — filing date</t>
  </si>
  <si>
    <t>Q1 2026 10-Q  —  [date]</t>
  </si>
  <si>
    <t>Latest earnings transcript</t>
  </si>
  <si>
    <t>Q1 2026 call  —  [date]</t>
  </si>
  <si>
    <t>INVESTMENT THESIS</t>
  </si>
  <si>
    <t>[Bull thesis + operating narrative, 3–4 sentences. Cite filings.]</t>
  </si>
  <si>
    <t>PHASE 2  —  UNIT ECONOMICS</t>
  </si>
  <si>
    <t>REVENUE ARCHITECTURE ($mm)</t>
  </si>
  <si>
    <t>Segment</t>
  </si>
  <si>
    <t>Revenue</t>
  </si>
  <si>
    <t>% of total</t>
  </si>
  <si>
    <t>Segment 1</t>
  </si>
  <si>
    <t>Segment 2</t>
  </si>
  <si>
    <t>Segment 3</t>
  </si>
  <si>
    <t>Total revenue</t>
  </si>
  <si>
    <t>GROWTH DECOMPOSITION</t>
  </si>
  <si>
    <t>Total revenue growth (YoY)</t>
  </si>
  <si>
    <t>organic + inorganic check →</t>
  </si>
  <si>
    <t xml:space="preserve">  Organic</t>
  </si>
  <si>
    <t xml:space="preserve">  Inorganic (M&amp;A)</t>
  </si>
  <si>
    <t xml:space="preserve">  Price</t>
  </si>
  <si>
    <t xml:space="preserve">  Volume</t>
  </si>
  <si>
    <t>MARGINAL UNIT  (fill the block for the SELECTED track)</t>
  </si>
  <si>
    <t>Standard — Retail</t>
  </si>
  <si>
    <t>Average inventory ($mm)</t>
  </si>
  <si>
    <t>COGS ($mm)</t>
  </si>
  <si>
    <t>Days Sales of Inventory (DSI)</t>
  </si>
  <si>
    <t>Standard — SaaS</t>
  </si>
  <si>
    <t>LTV ($)</t>
  </si>
  <si>
    <t>CAC ($)</t>
  </si>
  <si>
    <t>LTV / CAC</t>
  </si>
  <si>
    <t>Banks — NIM</t>
  </si>
  <si>
    <t>Net interest income ($mm)</t>
  </si>
  <si>
    <t>Average earning assets ($mm)</t>
  </si>
  <si>
    <t>Net interest margin (NIM)</t>
  </si>
  <si>
    <t>Insurance — Combined ratio</t>
  </si>
  <si>
    <t>Incurred losses + LAE ($mm)</t>
  </si>
  <si>
    <t>Underwriting expenses ($mm)</t>
  </si>
  <si>
    <t>Net earned premiums ($mm)</t>
  </si>
  <si>
    <t>Combined ratio</t>
  </si>
  <si>
    <t>REIT — NOI / AFFO</t>
  </si>
  <si>
    <t>Same-store NOI ($mm)</t>
  </si>
  <si>
    <t>Same-store NOI growth</t>
  </si>
  <si>
    <t>FFO / share ($)</t>
  </si>
  <si>
    <t>AFFO / share ($)</t>
  </si>
  <si>
    <t>TERMINAL RISK  (10-K Item 1A)</t>
  </si>
  <si>
    <t>[Single biggest terminal risk. This anchors the Phase 5 rating. Cite Item 1A.]</t>
  </si>
  <si>
    <t>CONCENTRATION  (&gt;=10% flag)</t>
  </si>
  <si>
    <t>Vector</t>
  </si>
  <si>
    <t>% of revenue</t>
  </si>
  <si>
    <t>Flag</t>
  </si>
  <si>
    <t>Largest customer</t>
  </si>
  <si>
    <t>Largest geography</t>
  </si>
  <si>
    <t>Largest supplier</t>
  </si>
  <si>
    <t>Largest counterparty</t>
  </si>
  <si>
    <t>PHASE 3  —  FORENSIC CLEANSE &amp; QUALITY</t>
  </si>
  <si>
    <t>FLUFF FILTER</t>
  </si>
  <si>
    <t>Comparison basis (EBIT/EBITDA/NI)</t>
  </si>
  <si>
    <t>EBIT</t>
  </si>
  <si>
    <t>GAAP ($mm)</t>
  </si>
  <si>
    <t>Adjusted ($mm)</t>
  </si>
  <si>
    <t>Adjustment burden</t>
  </si>
  <si>
    <t>Flag (&gt; 20%)</t>
  </si>
  <si>
    <t>Top add-backs</t>
  </si>
  <si>
    <t>$mm</t>
  </si>
  <si>
    <t>Recurring?</t>
  </si>
  <si>
    <t>1. Stock-based comp</t>
  </si>
  <si>
    <t>Yes — recurring</t>
  </si>
  <si>
    <t>2. Restructuring</t>
  </si>
  <si>
    <t>Maybe</t>
  </si>
  <si>
    <t>3. Impairment</t>
  </si>
  <si>
    <t>One-off</t>
  </si>
  <si>
    <t>R&amp;D CAPITALIZATION  (Standard track)</t>
  </si>
  <si>
    <t>Amortization life  n  (yrs)</t>
  </si>
  <si>
    <t>R&amp;D — current year ($mm)</t>
  </si>
  <si>
    <t>R&amp;D  t-1 ($mm)</t>
  </si>
  <si>
    <t>R&amp;D  t-2 ($mm)</t>
  </si>
  <si>
    <t>R&amp;D  t-3 ($mm)</t>
  </si>
  <si>
    <t>R&amp;D  t-4 ($mm)</t>
  </si>
  <si>
    <t>Amortization this year</t>
  </si>
  <si>
    <t>EBIT as-reported ($mm)</t>
  </si>
  <si>
    <t>EBIT economic ($mm)</t>
  </si>
  <si>
    <t>EBIT + R&amp;D less amortization</t>
  </si>
  <si>
    <t>QUALITY SCORECARD</t>
  </si>
  <si>
    <t>Net income ($mm)</t>
  </si>
  <si>
    <t>Cash flow from operations ($mm)</t>
  </si>
  <si>
    <t>Cash flow from investing ($mm)</t>
  </si>
  <si>
    <t>Total assets — begin ($mm)</t>
  </si>
  <si>
    <t>Total assets — end ($mm)</t>
  </si>
  <si>
    <t>Average total assets</t>
  </si>
  <si>
    <t>Sloan ratio  (NI−CFO−CFI)/avg TA</t>
  </si>
  <si>
    <t>Sloan flag (&gt;10%)</t>
  </si>
  <si>
    <t>Contextual metric (track-specific)</t>
  </si>
  <si>
    <t>Piotroski F-Score (0–9) [Std/REIT]</t>
  </si>
  <si>
    <t>Altman Z-Score [Std-Mfg]</t>
  </si>
  <si>
    <t>CET1 ratio [Financials]</t>
  </si>
  <si>
    <t>DISCOUNT-RATE BUILD</t>
  </si>
  <si>
    <t>COST OF EQUITY (CAPM)</t>
  </si>
  <si>
    <t>Risk-free rate  r_f</t>
  </si>
  <si>
    <t>[REFRESH] 10Y UST — House Assumptions</t>
  </si>
  <si>
    <t>Equity risk premium  ERP</t>
  </si>
  <si>
    <t>[REFRESH] Damodaran implied</t>
  </si>
  <si>
    <t>Beta  β</t>
  </si>
  <si>
    <t>bottom-up, relevered</t>
  </si>
  <si>
    <t>Cost of equity  r_e</t>
  </si>
  <si>
    <t>r_f + beta x ERP</t>
  </si>
  <si>
    <t>COST OF DEBT</t>
  </si>
  <si>
    <t>Pre-tax cost of debt  r_d</t>
  </si>
  <si>
    <t>Marginal tax rate  τ</t>
  </si>
  <si>
    <t>After-tax cost of debt</t>
  </si>
  <si>
    <t>CAPITAL WEIGHTS</t>
  </si>
  <si>
    <t>Equity  E  (market cap)</t>
  </si>
  <si>
    <t>Debt  D  (total debt)</t>
  </si>
  <si>
    <t>Total capital  V</t>
  </si>
  <si>
    <t>E / V</t>
  </si>
  <si>
    <t>D / V</t>
  </si>
  <si>
    <t>WACC</t>
  </si>
  <si>
    <t>financials: discount at r_e (B7), not WACC</t>
  </si>
  <si>
    <t>BOTTOM-UP RELEVERED BETA  (set B6 to row 27 if adopting)</t>
  </si>
  <si>
    <t>Unlevered beta  bU</t>
  </si>
  <si>
    <t>Market D/E</t>
  </si>
  <si>
    <t>Relevered beta  bL</t>
  </si>
  <si>
    <t>bL = bU*(1+(1-t)*D/E)</t>
  </si>
  <si>
    <t>PHASE 4A  —  FCFF DCF  (2-stage, 10-yr fade — growth-company structure)</t>
  </si>
  <si>
    <t>ASSUMPTIONS</t>
  </si>
  <si>
    <t>Track A (Skeptic)</t>
  </si>
  <si>
    <t>Track B (Institutional)</t>
  </si>
  <si>
    <t>Base FCFF  yr0 ($mm)</t>
  </si>
  <si>
    <t>Terminal growth  g  (yr 10+)</t>
  </si>
  <si>
    <t>WACC &gt; g check</t>
  </si>
  <si>
    <t>Stage-1 growth  g0  (yr 1, fades linearly to g by yr 10)</t>
  </si>
  <si>
    <t>PROJECTION ($mm)</t>
  </si>
  <si>
    <t>Period</t>
  </si>
  <si>
    <t>Track A FCFF</t>
  </si>
  <si>
    <t>Discount factor</t>
  </si>
  <si>
    <t>Track A  PV</t>
  </si>
  <si>
    <t>Track B FCFF</t>
  </si>
  <si>
    <t>Track B  PV</t>
  </si>
  <si>
    <t>TERMINAL VALUE &amp; ENTERPRISE VALUE ($mm)</t>
  </si>
  <si>
    <t>Track A</t>
  </si>
  <si>
    <t>Track B</t>
  </si>
  <si>
    <t>Sum PV of FCFF</t>
  </si>
  <si>
    <t>Terminal value (yr10)</t>
  </si>
  <si>
    <t>PV of terminal value</t>
  </si>
  <si>
    <t>Enterprise value</t>
  </si>
  <si>
    <t>EQUITY BRIDGE ($mm)</t>
  </si>
  <si>
    <t>(–) Net debt</t>
  </si>
  <si>
    <t>(–) Minority interest</t>
  </si>
  <si>
    <t>(–) Preferred</t>
  </si>
  <si>
    <t>(+) Non-op investments</t>
  </si>
  <si>
    <t>Equity value</t>
  </si>
  <si>
    <t>Diluted shares (mm)</t>
  </si>
  <si>
    <t>FAIR VALUE / SHARE ($)</t>
  </si>
  <si>
    <t>DIAGNOSTICS (growth-company)</t>
  </si>
  <si>
    <t>Terminal value % of EV</t>
  </si>
  <si>
    <t>Implied exit FCFF multiple (x)</t>
  </si>
  <si>
    <t>Year-10 FCFF ($mm)</t>
  </si>
  <si>
    <t>NORMALIZED FCFF FEEDER  (set Base FCFF B5/C5 to row 45 if adopting)</t>
  </si>
  <si>
    <t>(-) Normalized capex ($mm)</t>
  </si>
  <si>
    <t>(+) After-tax interest ($mm)</t>
  </si>
  <si>
    <t>Normalized FCFF (= OCF - capex + a/t int)</t>
  </si>
  <si>
    <t>PHASE 4B  —  RESIDUAL INCOME  (Banks / Insurance)</t>
  </si>
  <si>
    <t>Value equity directly; discount at cost of equity r_e (NOT WACC). Per-share inputs → per-share output.</t>
  </si>
  <si>
    <t>Terminal growth  g</t>
  </si>
  <si>
    <t>Payout ratio</t>
  </si>
  <si>
    <t>Book value / share — yr0 ($)</t>
  </si>
  <si>
    <t>RESIDUAL INCOME SCHEDULE  ($/share)</t>
  </si>
  <si>
    <t>Track A ROE</t>
  </si>
  <si>
    <t>Track A BV begin</t>
  </si>
  <si>
    <t>Track A RI</t>
  </si>
  <si>
    <t>Track A PV</t>
  </si>
  <si>
    <t>Track B ROE</t>
  </si>
  <si>
    <t>Track B BV begin</t>
  </si>
  <si>
    <t>Track B RI</t>
  </si>
  <si>
    <t>Track B PV</t>
  </si>
  <si>
    <t>VALUE ($/share)</t>
  </si>
  <si>
    <t>PV of terminal RI</t>
  </si>
  <si>
    <t>Sum PV of RI</t>
  </si>
  <si>
    <t>DDM CROSS-CHECK ($/share)</t>
  </si>
  <si>
    <t>Next-year dividend  D1 ($)</t>
  </si>
  <si>
    <t>Value = D1/(r_e − g)</t>
  </si>
  <si>
    <t>PHASE 4C  —  NAV + AFFO YIELD  (REIT)</t>
  </si>
  <si>
    <t>NET ASSET VALUE</t>
  </si>
  <si>
    <t>Forward NOI ($mm)</t>
  </si>
  <si>
    <t>Cap rate</t>
  </si>
  <si>
    <t>Implied property value</t>
  </si>
  <si>
    <t>(+) Other assets ($mm)</t>
  </si>
  <si>
    <t>(–) Total debt ($mm)</t>
  </si>
  <si>
    <t>(–) Other liabilities ($mm)</t>
  </si>
  <si>
    <t>Net asset value ($mm)</t>
  </si>
  <si>
    <t>Shares (mm)</t>
  </si>
  <si>
    <t>NAV / SHARE ($)</t>
  </si>
  <si>
    <t>AFFO-YIELD CROSS-CHECK</t>
  </si>
  <si>
    <t>Target AFFO yield</t>
  </si>
  <si>
    <t>Implied value / share ($)</t>
  </si>
  <si>
    <t>PHASE 5  —  SENSITIVITY &amp; VERDICT</t>
  </si>
  <si>
    <t>SENSITIVITY INPUTS  (perpetuity basis, $mm)</t>
  </si>
  <si>
    <t>Next-year FCFF  (FCFF1)</t>
  </si>
  <si>
    <t>Base WACC</t>
  </si>
  <si>
    <t>FAIR VALUE / SHARE  —  Gordon-perpetuity check (off FCFF1; complements 10-yr fade)</t>
  </si>
  <si>
    <t>WACC \ g</t>
  </si>
  <si>
    <t>Note: simple-perpetuity cross-check off FCFF1; NOT the 2-stage fade DCF (fade result = FCFF_DCF!C33).</t>
  </si>
  <si>
    <t>STRESS TEST  (primary sector shock)</t>
  </si>
  <si>
    <t>Primary risk channel</t>
  </si>
  <si>
    <t>Standard: revenue/FCFF shock</t>
  </si>
  <si>
    <t>Shock to FCFF1</t>
  </si>
  <si>
    <t>Base FV/sh (Track B)</t>
  </si>
  <si>
    <t>Stressed FV/sh (perpetuity)</t>
  </si>
  <si>
    <t>Impact</t>
  </si>
  <si>
    <t>FINAL VERDICT</t>
  </si>
  <si>
    <t>Fair Value — Track A</t>
  </si>
  <si>
    <t>Fair Value — Track B</t>
  </si>
  <si>
    <t>Fair Value — average</t>
  </si>
  <si>
    <t>Current price  P0</t>
  </si>
  <si>
    <t>Grounded in terminal risk:</t>
  </si>
  <si>
    <t>[One-sentence rating tied to the Phase-2 terminal risk + thesis restatement.]</t>
  </si>
  <si>
    <t>REVENUE-GROWTH SENSITIVITY  (Track B, live - ties to FCFF_DCF!C33)</t>
  </si>
  <si>
    <t>Live base FCFF yr0 ($mm)</t>
  </si>
  <si>
    <t>Live terminal g (yr10+)</t>
  </si>
  <si>
    <t>Live WACC</t>
  </si>
  <si>
    <t>Stage-1 growth g0 scenario -&gt;</t>
  </si>
  <si>
    <t>Period / DF</t>
  </si>
  <si>
    <t>DF</t>
  </si>
  <si>
    <t>PV of explicit FCFF ($mm)</t>
  </si>
  <si>
    <t>Terminal value ($mm)</t>
  </si>
  <si>
    <t>PV of terminal value ($mm)</t>
  </si>
  <si>
    <t>Enterprise value ($mm)</t>
  </si>
  <si>
    <t>Equity value ($mm)</t>
  </si>
  <si>
    <t>Margin of safety vs 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</si>
</sst>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;&quot;($&quot;#,##0.00\);\-"/>
    <numFmt numFmtId="165" formatCode="0.0%;\(0.0%\);\-"/>
    <numFmt numFmtId="166" formatCode="\$#,##0;&quot;($&quot;#,##0\);\-"/>
    <numFmt numFmtId="167" formatCode="0.0\x"/>
    <numFmt numFmtId="168" formatCode="#,##0.0;\(#,##0.0\);\-"/>
    <numFmt numFmtId="169" formatCode="#,##0.0;\(#,##0.0\);\-00"/>
    <numFmt numFmtId="170" formatCode="0.0%"/>
  </numFmts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i/>
      <sz val="9"/>
      <color rgb="FF000000"/>
      <name val="Arial"/>
      <charset val="1"/>
    </font>
    <font>
      <sz val="10"/>
      <name val="Arial"/>
      <family val="2"/>
    </font>
    <font>
      <sz val="10"/>
      <color rgb="FF808080"/>
      <name val="Arial"/>
      <charset val="1"/>
    </font>
    <font>
      <b/>
      <sz val="10"/>
      <color rgb="FF0000FF"/>
      <name val="Arial"/>
      <charset val="1"/>
    </font>
    <font>
      <i/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0" borderId="3" xfId="0" applyFont="1" applyBorder="1" applyAlignment="1">
      <alignment vertical="top" wrapText="1"/>
    </xf>
    <xf numFmtId="0" fontId="3" fillId="0" borderId="2" xfId="0" applyFont="1" applyBorder="1" applyAlignment="1">
      <alignment vertical="center"/>
    </xf>
    <xf numFmtId="0" fontId="6" fillId="2" borderId="0" xfId="0" applyFont="1" applyFill="1"/>
    <xf numFmtId="0" fontId="5" fillId="0" borderId="1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/>
    <xf numFmtId="165" fontId="4" fillId="0" borderId="0" xfId="0" applyNumberFormat="1" applyFont="1"/>
    <xf numFmtId="166" fontId="4" fillId="0" borderId="0" xfId="0" applyNumberFormat="1" applyFont="1"/>
    <xf numFmtId="2" fontId="4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164" fontId="5" fillId="0" borderId="0" xfId="0" applyNumberFormat="1" applyFont="1"/>
    <xf numFmtId="166" fontId="3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0" fontId="2" fillId="0" borderId="0" xfId="0" applyFont="1"/>
    <xf numFmtId="0" fontId="2" fillId="4" borderId="0" xfId="0" applyFont="1" applyFill="1"/>
    <xf numFmtId="167" fontId="5" fillId="0" borderId="0" xfId="0" applyNumberFormat="1" applyFont="1"/>
    <xf numFmtId="0" fontId="4" fillId="0" borderId="0" xfId="0" applyFont="1"/>
    <xf numFmtId="164" fontId="3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8" fontId="3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0" fontId="2" fillId="4" borderId="0" xfId="0" applyFont="1" applyFill="1" applyAlignment="1">
      <alignment vertical="center"/>
    </xf>
    <xf numFmtId="166" fontId="3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/>
    <xf numFmtId="1" fontId="3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165" fontId="3" fillId="3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2" fontId="3" fillId="0" borderId="0" xfId="0" applyNumberFormat="1" applyFont="1"/>
    <xf numFmtId="2" fontId="5" fillId="0" borderId="0" xfId="0" applyNumberFormat="1" applyFont="1"/>
    <xf numFmtId="2" fontId="2" fillId="4" borderId="0" xfId="0" applyNumberFormat="1" applyFont="1" applyFill="1"/>
    <xf numFmtId="0" fontId="5" fillId="4" borderId="1" xfId="0" applyFont="1" applyFill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" fontId="2" fillId="4" borderId="1" xfId="0" applyNumberFormat="1" applyFont="1" applyFill="1" applyBorder="1" applyAlignment="1">
      <alignment horizontal="center" vertical="center"/>
    </xf>
    <xf numFmtId="169" fontId="5" fillId="0" borderId="1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168" fontId="4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170" fontId="5" fillId="0" borderId="1" xfId="0" applyNumberFormat="1" applyFont="1" applyBorder="1" applyAlignment="1">
      <alignment vertical="center"/>
    </xf>
    <xf numFmtId="167" fontId="5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66" fontId="2" fillId="4" borderId="0" xfId="0" applyNumberFormat="1" applyFont="1" applyFill="1"/>
    <xf numFmtId="165" fontId="4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9" fillId="0" borderId="0" xfId="0" applyFont="1"/>
    <xf numFmtId="164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" fontId="5" fillId="0" borderId="0" xfId="0" applyNumberFormat="1" applyFont="1"/>
    <xf numFmtId="164" fontId="2" fillId="4" borderId="0" xfId="0" applyNumberFormat="1" applyFont="1" applyFill="1"/>
    <xf numFmtId="0" fontId="6" fillId="2" borderId="4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showGridLines="0" tabSelected="1" zoomScaleNormal="100" workbookViewId="0">
      <selection activeCell="I53" sqref="I53"/>
    </sheetView>
  </sheetViews>
  <sheetFormatPr defaultColWidth="8.7109375" defaultRowHeight="15" x14ac:dyDescent="0.25"/>
  <cols>
    <col min="1" max="1" width="34" customWidth="1"/>
    <col min="2" max="6" width="16" customWidth="1"/>
  </cols>
  <sheetData>
    <row r="1" spans="1:6" ht="15.75" customHeight="1" x14ac:dyDescent="0.25">
      <c r="A1" s="6" t="s">
        <v>0</v>
      </c>
      <c r="B1" s="6"/>
      <c r="C1" s="6"/>
      <c r="D1" s="6"/>
      <c r="E1" s="6"/>
      <c r="F1" s="6"/>
    </row>
    <row r="3" spans="1:6" ht="15" customHeight="1" x14ac:dyDescent="0.25">
      <c r="A3" s="7" t="s">
        <v>1</v>
      </c>
      <c r="B3" s="8" t="s">
        <v>2</v>
      </c>
      <c r="D3" s="9" t="s">
        <v>3</v>
      </c>
    </row>
    <row r="4" spans="1:6" ht="15" customHeight="1" x14ac:dyDescent="0.25">
      <c r="A4" s="10" t="s">
        <v>4</v>
      </c>
      <c r="B4" s="11" t="s">
        <v>5</v>
      </c>
    </row>
    <row r="6" spans="1:6" ht="15" customHeight="1" x14ac:dyDescent="0.25">
      <c r="A6" s="5" t="s">
        <v>6</v>
      </c>
      <c r="B6" s="5"/>
      <c r="C6" s="5"/>
      <c r="D6" s="5"/>
      <c r="E6" s="5"/>
      <c r="F6" s="5"/>
    </row>
    <row r="7" spans="1:6" ht="15" customHeight="1" x14ac:dyDescent="0.25">
      <c r="A7" s="7" t="s">
        <v>7</v>
      </c>
      <c r="B7" s="12" t="s">
        <v>8</v>
      </c>
    </row>
    <row r="8" spans="1:6" ht="15" customHeight="1" x14ac:dyDescent="0.25">
      <c r="A8" s="7" t="s">
        <v>9</v>
      </c>
      <c r="B8" s="12" t="s">
        <v>10</v>
      </c>
    </row>
    <row r="9" spans="1:6" ht="15" customHeight="1" x14ac:dyDescent="0.25">
      <c r="A9" s="7" t="s">
        <v>11</v>
      </c>
      <c r="B9" s="12" t="s">
        <v>12</v>
      </c>
    </row>
    <row r="10" spans="1:6" ht="15" customHeight="1" x14ac:dyDescent="0.25">
      <c r="A10" s="7" t="s">
        <v>13</v>
      </c>
      <c r="B10" s="12" t="s">
        <v>14</v>
      </c>
    </row>
    <row r="11" spans="1:6" ht="15" customHeight="1" x14ac:dyDescent="0.25">
      <c r="A11" s="7" t="s">
        <v>15</v>
      </c>
      <c r="B11" s="12" t="s">
        <v>16</v>
      </c>
    </row>
    <row r="13" spans="1:6" ht="15" customHeight="1" x14ac:dyDescent="0.25">
      <c r="A13" s="5" t="s">
        <v>17</v>
      </c>
      <c r="B13" s="5"/>
      <c r="C13" s="5"/>
      <c r="D13" s="5"/>
      <c r="E13" s="5"/>
      <c r="F13" s="5"/>
    </row>
    <row r="14" spans="1:6" ht="15" customHeight="1" x14ac:dyDescent="0.25">
      <c r="A14" s="13" t="s">
        <v>18</v>
      </c>
      <c r="B14" s="13" t="s">
        <v>19</v>
      </c>
    </row>
    <row r="15" spans="1:6" ht="15" customHeight="1" x14ac:dyDescent="0.25">
      <c r="A15" s="14" t="s">
        <v>20</v>
      </c>
      <c r="B15" s="15">
        <f>Phase1_Anchor!B5</f>
        <v>100</v>
      </c>
    </row>
    <row r="16" spans="1:6" ht="15" customHeight="1" x14ac:dyDescent="0.25">
      <c r="A16" s="14" t="s">
        <v>21</v>
      </c>
      <c r="B16" s="15">
        <f>FCFF_DCF!B33</f>
        <v>63.62971358828657</v>
      </c>
    </row>
    <row r="17" spans="1:6" ht="15" customHeight="1" x14ac:dyDescent="0.25">
      <c r="A17" s="14" t="s">
        <v>22</v>
      </c>
      <c r="B17" s="15">
        <f>FCFF_DCF!C33</f>
        <v>103.88947476066015</v>
      </c>
    </row>
    <row r="18" spans="1:6" ht="15" customHeight="1" x14ac:dyDescent="0.25">
      <c r="A18" s="14" t="s">
        <v>23</v>
      </c>
      <c r="B18" s="16">
        <f>AVERAGE(B16:B17)</f>
        <v>83.759594174473364</v>
      </c>
    </row>
    <row r="19" spans="1:6" ht="15" customHeight="1" x14ac:dyDescent="0.25">
      <c r="A19" s="14" t="s">
        <v>24</v>
      </c>
      <c r="B19" s="17">
        <f>(B18-B15)/B15</f>
        <v>-0.16240405825526635</v>
      </c>
    </row>
    <row r="20" spans="1:6" ht="15" customHeight="1" x14ac:dyDescent="0.25">
      <c r="A20" s="18" t="s">
        <v>25</v>
      </c>
      <c r="B20" s="12" t="s">
        <v>26</v>
      </c>
    </row>
    <row r="22" spans="1:6" ht="15" customHeight="1" x14ac:dyDescent="0.25">
      <c r="A22" s="19" t="s">
        <v>27</v>
      </c>
    </row>
    <row r="23" spans="1:6" ht="15" customHeight="1" x14ac:dyDescent="0.25">
      <c r="A23" s="19" t="s">
        <v>28</v>
      </c>
    </row>
    <row r="24" spans="1:6" ht="15" customHeight="1" x14ac:dyDescent="0.25">
      <c r="A24" s="19" t="s">
        <v>29</v>
      </c>
    </row>
    <row r="26" spans="1:6" ht="15" customHeight="1" x14ac:dyDescent="0.25">
      <c r="A26" s="5" t="s">
        <v>30</v>
      </c>
      <c r="B26" s="5"/>
      <c r="C26" s="5"/>
      <c r="D26" s="5"/>
      <c r="E26" s="5"/>
      <c r="F26" s="5"/>
    </row>
    <row r="27" spans="1:6" ht="15" customHeight="1" x14ac:dyDescent="0.25">
      <c r="A27" s="13" t="s">
        <v>31</v>
      </c>
      <c r="B27" s="13" t="s">
        <v>32</v>
      </c>
    </row>
    <row r="28" spans="1:6" ht="15" customHeight="1" x14ac:dyDescent="0.25">
      <c r="A28" s="14" t="s">
        <v>12</v>
      </c>
      <c r="B28" s="4" t="s">
        <v>33</v>
      </c>
      <c r="C28" s="4"/>
      <c r="D28" s="4"/>
      <c r="E28" s="4"/>
      <c r="F28" s="4"/>
    </row>
    <row r="29" spans="1:6" ht="15" customHeight="1" x14ac:dyDescent="0.25">
      <c r="A29" s="14" t="s">
        <v>34</v>
      </c>
      <c r="B29" s="4" t="s">
        <v>35</v>
      </c>
      <c r="C29" s="4"/>
      <c r="D29" s="4"/>
      <c r="E29" s="4"/>
      <c r="F29" s="4"/>
    </row>
    <row r="30" spans="1:6" ht="15" customHeight="1" x14ac:dyDescent="0.25">
      <c r="A30" s="14" t="s">
        <v>36</v>
      </c>
      <c r="B30" s="4" t="s">
        <v>37</v>
      </c>
      <c r="C30" s="4"/>
      <c r="D30" s="4"/>
      <c r="E30" s="4"/>
      <c r="F30" s="4"/>
    </row>
    <row r="32" spans="1:6" ht="15" customHeight="1" x14ac:dyDescent="0.25">
      <c r="A32" s="3" t="s">
        <v>38</v>
      </c>
      <c r="B32" s="3"/>
      <c r="C32" s="3"/>
      <c r="D32" s="3"/>
      <c r="E32" s="3"/>
      <c r="F32" s="3"/>
    </row>
    <row r="33" spans="1:6" ht="15" customHeight="1" x14ac:dyDescent="0.25">
      <c r="A33" s="20" t="s">
        <v>39</v>
      </c>
      <c r="B33" s="21">
        <f>FCFF_DCF!B9</f>
        <v>0.05</v>
      </c>
      <c r="C33" s="21">
        <f>FCFF_DCF!C9</f>
        <v>0.1</v>
      </c>
    </row>
    <row r="34" spans="1:6" ht="15" customHeight="1" x14ac:dyDescent="0.25">
      <c r="A34" s="20" t="s">
        <v>40</v>
      </c>
      <c r="B34" s="21">
        <f>FCFF_DCF!B6</f>
        <v>0</v>
      </c>
      <c r="C34" s="21">
        <f>FCFF_DCF!C6</f>
        <v>0.02</v>
      </c>
    </row>
    <row r="35" spans="1:6" ht="15" customHeight="1" x14ac:dyDescent="0.25">
      <c r="A35" s="20" t="s">
        <v>41</v>
      </c>
      <c r="B35" s="22">
        <f>FCFF_DCF!B5</f>
        <v>2500</v>
      </c>
      <c r="C35" s="22">
        <f>FCFF_DCF!C5</f>
        <v>2700</v>
      </c>
    </row>
    <row r="36" spans="1:6" ht="15" customHeight="1" x14ac:dyDescent="0.25">
      <c r="A36" s="20" t="s">
        <v>42</v>
      </c>
      <c r="B36" s="22">
        <f>FCFF_DCF!B42</f>
        <v>3413.1</v>
      </c>
      <c r="C36" s="22">
        <f>FCFF_DCF!C42</f>
        <v>3613.1</v>
      </c>
    </row>
    <row r="37" spans="1:6" ht="15" customHeight="1" x14ac:dyDescent="0.25">
      <c r="A37" s="20" t="s">
        <v>43</v>
      </c>
      <c r="B37" s="22">
        <f>FCFF_DCF!B43</f>
        <v>1000</v>
      </c>
      <c r="C37" s="22">
        <f>FCFF_DCF!C43</f>
        <v>1000</v>
      </c>
    </row>
    <row r="38" spans="1:6" ht="15" customHeight="1" x14ac:dyDescent="0.25">
      <c r="A38" s="20" t="s">
        <v>44</v>
      </c>
      <c r="B38" s="21">
        <f>Val_Fin_RI!B12</f>
        <v>0.1</v>
      </c>
      <c r="C38" s="21">
        <f>Val_Fin_RI!B16</f>
        <v>0.12</v>
      </c>
    </row>
    <row r="39" spans="1:6" ht="15" customHeight="1" x14ac:dyDescent="0.25">
      <c r="A39" s="20" t="s">
        <v>45</v>
      </c>
      <c r="B39" s="21">
        <f>Val_REIT_NAV!B6</f>
        <v>0.06</v>
      </c>
      <c r="C39" s="21">
        <f>Val_REIT_NAV!C6</f>
        <v>6.7500000000000004E-2</v>
      </c>
    </row>
    <row r="41" spans="1:6" ht="15" customHeight="1" x14ac:dyDescent="0.25">
      <c r="A41" s="3" t="s">
        <v>46</v>
      </c>
      <c r="B41" s="3"/>
      <c r="C41" s="3"/>
      <c r="D41" s="3"/>
      <c r="E41" s="3"/>
      <c r="F41" s="3"/>
    </row>
    <row r="42" spans="1:6" ht="15" customHeight="1" x14ac:dyDescent="0.25">
      <c r="A42" s="20" t="s">
        <v>47</v>
      </c>
      <c r="B42" s="21">
        <f>WACC_Build!B4</f>
        <v>4.4499999999999998E-2</v>
      </c>
    </row>
    <row r="43" spans="1:6" ht="15" customHeight="1" x14ac:dyDescent="0.25">
      <c r="A43" s="20" t="s">
        <v>48</v>
      </c>
      <c r="B43" s="21">
        <f>WACC_Build!B5</f>
        <v>4.2299999999999997E-2</v>
      </c>
    </row>
    <row r="44" spans="1:6" ht="15" customHeight="1" x14ac:dyDescent="0.25">
      <c r="A44" s="20" t="s">
        <v>49</v>
      </c>
      <c r="B44" s="23">
        <f>WACC_Build!B6</f>
        <v>1.1000000000000001</v>
      </c>
    </row>
    <row r="45" spans="1:6" ht="15" customHeight="1" x14ac:dyDescent="0.25">
      <c r="A45" s="20" t="s">
        <v>50</v>
      </c>
      <c r="B45" s="21">
        <f>WACC_Build!B10</f>
        <v>5.5E-2</v>
      </c>
      <c r="C45" s="21">
        <f>WACC_Build!B11</f>
        <v>0.21</v>
      </c>
    </row>
    <row r="46" spans="1:6" ht="15" customHeight="1" x14ac:dyDescent="0.25">
      <c r="A46" s="20" t="s">
        <v>51</v>
      </c>
      <c r="B46" s="21">
        <f>WACC_Build!B7</f>
        <v>9.103E-2</v>
      </c>
      <c r="C46" s="21">
        <f>WACC_Build!B22</f>
        <v>8.9267777777777765E-2</v>
      </c>
    </row>
    <row r="47" spans="1:6" ht="15" customHeight="1" x14ac:dyDescent="0.25">
      <c r="A47" s="20" t="s">
        <v>52</v>
      </c>
      <c r="B47" s="24">
        <v>3.5000000000000003E-2</v>
      </c>
    </row>
    <row r="49" spans="1:6" ht="15" customHeight="1" x14ac:dyDescent="0.25">
      <c r="A49" s="3" t="s">
        <v>53</v>
      </c>
      <c r="B49" s="3"/>
      <c r="C49" s="3"/>
      <c r="D49" s="3"/>
      <c r="E49" s="3"/>
      <c r="F49" s="3"/>
    </row>
    <row r="50" spans="1:6" ht="15" customHeight="1" x14ac:dyDescent="0.25">
      <c r="A50" s="20" t="s">
        <v>54</v>
      </c>
      <c r="B50" s="25">
        <v>2.69</v>
      </c>
    </row>
    <row r="51" spans="1:6" ht="15" customHeight="1" x14ac:dyDescent="0.25">
      <c r="A51" s="20" t="s">
        <v>55</v>
      </c>
      <c r="B51" s="26">
        <f>Phase3_Forensic!B27/Phase1_Anchor!B7</f>
        <v>2.6923076923076925</v>
      </c>
    </row>
    <row r="52" spans="1:6" ht="15" customHeight="1" x14ac:dyDescent="0.25">
      <c r="A52" s="20" t="s">
        <v>56</v>
      </c>
      <c r="B52" s="20" t="str">
        <f>IF(ABS(B50-B51)/B51&lt;0.02,"ties","CHECK")</f>
        <v>ties</v>
      </c>
    </row>
    <row r="53" spans="1:6" ht="15" customHeight="1" x14ac:dyDescent="0.25">
      <c r="A53" s="20" t="s">
        <v>57</v>
      </c>
      <c r="B53" s="27">
        <v>52000</v>
      </c>
    </row>
    <row r="54" spans="1:6" ht="15" customHeight="1" x14ac:dyDescent="0.25">
      <c r="A54" s="20" t="s">
        <v>58</v>
      </c>
      <c r="B54" s="22">
        <f>Phase1_Anchor!B8</f>
        <v>52000</v>
      </c>
    </row>
    <row r="55" spans="1:6" ht="15" customHeight="1" x14ac:dyDescent="0.25">
      <c r="A55" s="20" t="s">
        <v>59</v>
      </c>
      <c r="B55" s="20" t="str">
        <f>IF(ABS(B53-B54)/B54&lt;0.05,"ties","CHECK")</f>
        <v>ties</v>
      </c>
    </row>
    <row r="57" spans="1:6" ht="15" customHeight="1" x14ac:dyDescent="0.25">
      <c r="A57" s="20" t="s">
        <v>60</v>
      </c>
      <c r="B57" s="28">
        <f>Phase1_Anchor!B8+Phase1_Anchor!B16+Phase1_Anchor!B17+Phase1_Anchor!B18-Phase1_Anchor!B19</f>
        <v>53150</v>
      </c>
    </row>
    <row r="58" spans="1:6" ht="15" customHeight="1" x14ac:dyDescent="0.25">
      <c r="A58" s="20" t="s">
        <v>61</v>
      </c>
      <c r="B58" s="29">
        <f>WACC_Build!B22-FCFF_DCF!C5/B57</f>
        <v>3.8468154071286703E-2</v>
      </c>
    </row>
    <row r="59" spans="1:6" ht="15" customHeight="1" x14ac:dyDescent="0.25">
      <c r="A59" s="20" t="s">
        <v>62</v>
      </c>
      <c r="B59" s="20" t="str">
        <f>IF(B58&gt;B47,"market &gt; cap: optionality priced","within cap")</f>
        <v>market &gt; cap: optionality priced</v>
      </c>
    </row>
    <row r="60" spans="1:6" ht="15" customHeight="1" x14ac:dyDescent="0.25">
      <c r="A60" s="20" t="s">
        <v>63</v>
      </c>
      <c r="B60" s="27">
        <v>400</v>
      </c>
    </row>
    <row r="61" spans="1:6" ht="15" customHeight="1" x14ac:dyDescent="0.25">
      <c r="A61" s="30" t="s">
        <v>64</v>
      </c>
      <c r="B61" s="31" t="s">
        <v>65</v>
      </c>
      <c r="C61" s="31" t="s">
        <v>66</v>
      </c>
      <c r="D61" s="31" t="s">
        <v>67</v>
      </c>
      <c r="E61" s="31" t="s">
        <v>68</v>
      </c>
    </row>
    <row r="62" spans="1:6" ht="15" customHeight="1" x14ac:dyDescent="0.25">
      <c r="B62" s="32">
        <f>B57/Phase3_Forensic!B5</f>
        <v>29.527777777777779</v>
      </c>
      <c r="C62" s="32">
        <f>B57/(Phase3_Forensic!B5+B60)</f>
        <v>24.15909090909091</v>
      </c>
      <c r="D62" s="32">
        <f>B57/Phase2_UnitEcon!B8</f>
        <v>5.3150000000000004</v>
      </c>
      <c r="E62" s="32">
        <f>Phase1_Anchor!B5/B51</f>
        <v>37.142857142857139</v>
      </c>
    </row>
    <row r="64" spans="1:6" ht="15" customHeight="1" x14ac:dyDescent="0.25">
      <c r="A64" s="3" t="s">
        <v>69</v>
      </c>
      <c r="B64" s="3"/>
      <c r="C64" s="3"/>
      <c r="D64" s="3"/>
      <c r="E64" s="3"/>
      <c r="F64" s="3"/>
    </row>
    <row r="65" spans="1:2" ht="15" customHeight="1" x14ac:dyDescent="0.25">
      <c r="A65" s="20" t="s">
        <v>70</v>
      </c>
      <c r="B65" s="21">
        <f>B19</f>
        <v>-0.16240405825526635</v>
      </c>
    </row>
    <row r="66" spans="1:2" ht="15" customHeight="1" x14ac:dyDescent="0.25">
      <c r="A66" s="20" t="s">
        <v>25</v>
      </c>
      <c r="B66" s="33" t="str">
        <f>B20</f>
        <v>Hold</v>
      </c>
    </row>
    <row r="67" spans="1:2" ht="15" customHeight="1" x14ac:dyDescent="0.25">
      <c r="A67" s="20" t="s">
        <v>71</v>
      </c>
      <c r="B67" s="20" t="str">
        <f>IF(AND(B65&lt;-0.15,OR(B66="Hold",B66="Buy")),"CHECK: rating vs MoS","ok")</f>
        <v>CHECK: rating vs MoS</v>
      </c>
    </row>
  </sheetData>
  <mergeCells count="11">
    <mergeCell ref="A64:F64"/>
    <mergeCell ref="B29:F29"/>
    <mergeCell ref="B30:F30"/>
    <mergeCell ref="A32:F32"/>
    <mergeCell ref="A41:F41"/>
    <mergeCell ref="A49:F49"/>
    <mergeCell ref="A1:F1"/>
    <mergeCell ref="A6:F6"/>
    <mergeCell ref="A13:F13"/>
    <mergeCell ref="A26:F26"/>
    <mergeCell ref="B28:F2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showGridLines="0" zoomScaleNormal="100" workbookViewId="0">
      <selection sqref="A1:C1"/>
    </sheetView>
  </sheetViews>
  <sheetFormatPr defaultColWidth="8.7109375" defaultRowHeight="15" x14ac:dyDescent="0.25"/>
  <cols>
    <col min="1" max="1" width="30" customWidth="1"/>
    <col min="2" max="2" width="16" customWidth="1"/>
    <col min="3" max="3" width="42" customWidth="1"/>
  </cols>
  <sheetData>
    <row r="1" spans="1:3" ht="15.75" customHeight="1" x14ac:dyDescent="0.25">
      <c r="A1" s="6" t="s">
        <v>72</v>
      </c>
      <c r="B1" s="6"/>
      <c r="C1" s="6"/>
    </row>
    <row r="3" spans="1:3" ht="15" customHeight="1" x14ac:dyDescent="0.25">
      <c r="A3" s="5" t="s">
        <v>73</v>
      </c>
      <c r="B3" s="5"/>
      <c r="C3" s="5"/>
    </row>
    <row r="4" spans="1:3" ht="15" customHeight="1" x14ac:dyDescent="0.25">
      <c r="A4" s="13" t="s">
        <v>18</v>
      </c>
      <c r="B4" s="13" t="s">
        <v>19</v>
      </c>
      <c r="C4" s="13" t="s">
        <v>74</v>
      </c>
    </row>
    <row r="5" spans="1:3" ht="15" customHeight="1" x14ac:dyDescent="0.25">
      <c r="A5" s="14" t="s">
        <v>20</v>
      </c>
      <c r="B5" s="34">
        <v>100</v>
      </c>
      <c r="C5" s="35" t="s">
        <v>75</v>
      </c>
    </row>
    <row r="6" spans="1:3" ht="15" customHeight="1" x14ac:dyDescent="0.25">
      <c r="A6" s="14" t="s">
        <v>76</v>
      </c>
      <c r="B6" s="36">
        <v>500</v>
      </c>
      <c r="C6" s="35" t="s">
        <v>77</v>
      </c>
    </row>
    <row r="7" spans="1:3" ht="15" customHeight="1" x14ac:dyDescent="0.25">
      <c r="A7" s="14" t="s">
        <v>78</v>
      </c>
      <c r="B7" s="36">
        <v>520</v>
      </c>
      <c r="C7" s="35" t="s">
        <v>79</v>
      </c>
    </row>
    <row r="8" spans="1:3" ht="15" customHeight="1" x14ac:dyDescent="0.25">
      <c r="A8" s="14" t="s">
        <v>80</v>
      </c>
      <c r="B8" s="37">
        <f>B5*B7</f>
        <v>52000</v>
      </c>
      <c r="C8" s="35" t="s">
        <v>81</v>
      </c>
    </row>
    <row r="9" spans="1:3" ht="15" customHeight="1" x14ac:dyDescent="0.25">
      <c r="A9" s="14" t="s">
        <v>82</v>
      </c>
      <c r="B9" s="34">
        <v>130</v>
      </c>
      <c r="C9" s="35"/>
    </row>
    <row r="10" spans="1:3" ht="15" customHeight="1" x14ac:dyDescent="0.25">
      <c r="A10" s="14" t="s">
        <v>83</v>
      </c>
      <c r="B10" s="34">
        <v>80</v>
      </c>
      <c r="C10" s="35"/>
    </row>
    <row r="12" spans="1:3" ht="15" customHeight="1" x14ac:dyDescent="0.25">
      <c r="A12" s="5" t="s">
        <v>84</v>
      </c>
      <c r="B12" s="5"/>
      <c r="C12" s="5"/>
    </row>
    <row r="13" spans="1:3" ht="15" customHeight="1" x14ac:dyDescent="0.25">
      <c r="A13" s="13" t="s">
        <v>18</v>
      </c>
      <c r="B13" s="13" t="s">
        <v>19</v>
      </c>
      <c r="C13" s="13" t="s">
        <v>74</v>
      </c>
    </row>
    <row r="14" spans="1:3" ht="15" customHeight="1" x14ac:dyDescent="0.25">
      <c r="A14" s="14" t="s">
        <v>85</v>
      </c>
      <c r="B14" s="38">
        <v>2000</v>
      </c>
      <c r="C14" s="35" t="s">
        <v>86</v>
      </c>
    </row>
    <row r="15" spans="1:3" ht="15" customHeight="1" x14ac:dyDescent="0.25">
      <c r="A15" s="14" t="s">
        <v>87</v>
      </c>
      <c r="B15" s="38">
        <v>800</v>
      </c>
      <c r="C15" s="35" t="s">
        <v>88</v>
      </c>
    </row>
    <row r="16" spans="1:3" ht="15" customHeight="1" x14ac:dyDescent="0.25">
      <c r="A16" s="14" t="s">
        <v>89</v>
      </c>
      <c r="B16" s="37">
        <f>B14-B15</f>
        <v>1200</v>
      </c>
      <c r="C16" s="35" t="s">
        <v>90</v>
      </c>
    </row>
    <row r="17" spans="1:3" ht="15" customHeight="1" x14ac:dyDescent="0.25">
      <c r="A17" s="14" t="s">
        <v>91</v>
      </c>
      <c r="B17" s="38">
        <v>50</v>
      </c>
      <c r="C17" s="35" t="s">
        <v>88</v>
      </c>
    </row>
    <row r="18" spans="1:3" ht="15" customHeight="1" x14ac:dyDescent="0.25">
      <c r="A18" s="14" t="s">
        <v>92</v>
      </c>
      <c r="B18" s="38">
        <v>0</v>
      </c>
      <c r="C18" s="35" t="s">
        <v>88</v>
      </c>
    </row>
    <row r="19" spans="1:3" ht="15" customHeight="1" x14ac:dyDescent="0.25">
      <c r="A19" s="14" t="s">
        <v>93</v>
      </c>
      <c r="B19" s="38">
        <v>100</v>
      </c>
      <c r="C19" s="35" t="s">
        <v>94</v>
      </c>
    </row>
    <row r="21" spans="1:3" ht="15" customHeight="1" x14ac:dyDescent="0.25">
      <c r="A21" s="5" t="s">
        <v>95</v>
      </c>
      <c r="B21" s="5"/>
      <c r="C21" s="5"/>
    </row>
    <row r="22" spans="1:3" ht="15" customHeight="1" x14ac:dyDescent="0.25">
      <c r="A22" s="18" t="s">
        <v>96</v>
      </c>
      <c r="B22" s="2" t="s">
        <v>97</v>
      </c>
      <c r="C22" s="2"/>
    </row>
    <row r="23" spans="1:3" ht="15" customHeight="1" x14ac:dyDescent="0.25">
      <c r="A23" s="18" t="s">
        <v>98</v>
      </c>
      <c r="B23" s="2" t="s">
        <v>99</v>
      </c>
      <c r="C23" s="2"/>
    </row>
    <row r="24" spans="1:3" ht="15" customHeight="1" x14ac:dyDescent="0.25">
      <c r="A24" s="18" t="s">
        <v>100</v>
      </c>
      <c r="B24" s="2" t="s">
        <v>101</v>
      </c>
      <c r="C24" s="2"/>
    </row>
    <row r="26" spans="1:3" ht="15" customHeight="1" x14ac:dyDescent="0.25">
      <c r="A26" s="5" t="s">
        <v>102</v>
      </c>
      <c r="B26" s="5"/>
      <c r="C26" s="5"/>
    </row>
    <row r="27" spans="1:3" ht="15" customHeight="1" x14ac:dyDescent="0.25">
      <c r="A27" s="1" t="s">
        <v>103</v>
      </c>
      <c r="B27" s="1"/>
      <c r="C27" s="1"/>
    </row>
    <row r="28" spans="1:3" ht="15" customHeight="1" x14ac:dyDescent="0.25">
      <c r="A28" s="1"/>
      <c r="B28" s="1"/>
      <c r="C28" s="1"/>
    </row>
    <row r="29" spans="1:3" ht="15" customHeight="1" x14ac:dyDescent="0.25">
      <c r="A29" s="1"/>
      <c r="B29" s="1"/>
      <c r="C29" s="1"/>
    </row>
    <row r="30" spans="1:3" ht="15" customHeight="1" x14ac:dyDescent="0.25">
      <c r="A30" s="1"/>
      <c r="B30" s="1"/>
      <c r="C30" s="1"/>
    </row>
  </sheetData>
  <mergeCells count="9">
    <mergeCell ref="B23:C23"/>
    <mergeCell ref="B24:C24"/>
    <mergeCell ref="A26:C26"/>
    <mergeCell ref="A27:C30"/>
    <mergeCell ref="A1:C1"/>
    <mergeCell ref="A3:C3"/>
    <mergeCell ref="A12:C12"/>
    <mergeCell ref="A21:C21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showGridLines="0" topLeftCell="A18" zoomScaleNormal="100" workbookViewId="0">
      <selection sqref="A1:D1"/>
    </sheetView>
  </sheetViews>
  <sheetFormatPr defaultColWidth="8.7109375" defaultRowHeight="15" x14ac:dyDescent="0.25"/>
  <cols>
    <col min="1" max="1" width="32" customWidth="1"/>
    <col min="2" max="4" width="16" customWidth="1"/>
  </cols>
  <sheetData>
    <row r="1" spans="1:4" ht="15.75" customHeight="1" x14ac:dyDescent="0.25">
      <c r="A1" s="6" t="s">
        <v>104</v>
      </c>
      <c r="B1" s="6"/>
      <c r="C1" s="6"/>
      <c r="D1" s="6"/>
    </row>
    <row r="3" spans="1:4" ht="15" customHeight="1" x14ac:dyDescent="0.25">
      <c r="A3" s="5" t="s">
        <v>105</v>
      </c>
      <c r="B3" s="5"/>
      <c r="C3" s="5"/>
      <c r="D3" s="5"/>
    </row>
    <row r="4" spans="1:4" ht="15" customHeight="1" x14ac:dyDescent="0.25">
      <c r="A4" s="13" t="s">
        <v>106</v>
      </c>
      <c r="B4" s="13" t="s">
        <v>107</v>
      </c>
      <c r="C4" s="13" t="s">
        <v>108</v>
      </c>
    </row>
    <row r="5" spans="1:4" ht="15" customHeight="1" x14ac:dyDescent="0.25">
      <c r="A5" s="12" t="s">
        <v>109</v>
      </c>
      <c r="B5" s="38">
        <v>6000</v>
      </c>
      <c r="C5" s="17">
        <f>IFERROR(B5/$B$8,0)</f>
        <v>0.6</v>
      </c>
    </row>
    <row r="6" spans="1:4" ht="15" customHeight="1" x14ac:dyDescent="0.25">
      <c r="A6" s="12" t="s">
        <v>110</v>
      </c>
      <c r="B6" s="38">
        <v>3000</v>
      </c>
      <c r="C6" s="17">
        <f>IFERROR(B6/$B$8,0)</f>
        <v>0.3</v>
      </c>
    </row>
    <row r="7" spans="1:4" ht="15" customHeight="1" x14ac:dyDescent="0.25">
      <c r="A7" s="12" t="s">
        <v>111</v>
      </c>
      <c r="B7" s="38">
        <v>1000</v>
      </c>
      <c r="C7" s="17">
        <f>IFERROR(B7/$B$8,0)</f>
        <v>0.1</v>
      </c>
    </row>
    <row r="8" spans="1:4" ht="15" customHeight="1" x14ac:dyDescent="0.25">
      <c r="A8" s="18" t="s">
        <v>112</v>
      </c>
      <c r="B8" s="39">
        <f>SUM(B5:B7)</f>
        <v>10000</v>
      </c>
      <c r="C8" s="17">
        <f>IFERROR(SUM(C5:C7),0)</f>
        <v>0.99999999999999989</v>
      </c>
    </row>
    <row r="10" spans="1:4" ht="15" customHeight="1" x14ac:dyDescent="0.25">
      <c r="A10" s="5" t="s">
        <v>113</v>
      </c>
      <c r="B10" s="5"/>
      <c r="C10" s="5"/>
      <c r="D10" s="5"/>
    </row>
    <row r="11" spans="1:4" ht="15" customHeight="1" x14ac:dyDescent="0.25">
      <c r="A11" s="14" t="s">
        <v>114</v>
      </c>
      <c r="B11" s="40">
        <v>0.12</v>
      </c>
      <c r="C11" s="41" t="s">
        <v>115</v>
      </c>
      <c r="D11" s="42">
        <f>B12+B13</f>
        <v>0.12</v>
      </c>
    </row>
    <row r="12" spans="1:4" ht="15" customHeight="1" x14ac:dyDescent="0.25">
      <c r="A12" s="14" t="s">
        <v>116</v>
      </c>
      <c r="B12" s="40">
        <v>0.08</v>
      </c>
    </row>
    <row r="13" spans="1:4" ht="15" customHeight="1" x14ac:dyDescent="0.25">
      <c r="A13" s="14" t="s">
        <v>117</v>
      </c>
      <c r="B13" s="40">
        <v>0.04</v>
      </c>
    </row>
    <row r="14" spans="1:4" ht="15" customHeight="1" x14ac:dyDescent="0.25">
      <c r="A14" s="14" t="s">
        <v>118</v>
      </c>
      <c r="B14" s="40">
        <v>0.05</v>
      </c>
    </row>
    <row r="15" spans="1:4" ht="15" customHeight="1" x14ac:dyDescent="0.25">
      <c r="A15" s="14" t="s">
        <v>119</v>
      </c>
      <c r="B15" s="40">
        <v>7.0000000000000007E-2</v>
      </c>
    </row>
    <row r="17" spans="1:4" ht="15" customHeight="1" x14ac:dyDescent="0.25">
      <c r="A17" s="5" t="s">
        <v>120</v>
      </c>
      <c r="B17" s="5"/>
      <c r="C17" s="5"/>
      <c r="D17" s="5"/>
    </row>
    <row r="18" spans="1:4" ht="15" customHeight="1" x14ac:dyDescent="0.25">
      <c r="A18" s="43" t="s">
        <v>121</v>
      </c>
    </row>
    <row r="19" spans="1:4" ht="15" customHeight="1" x14ac:dyDescent="0.25">
      <c r="A19" s="10" t="s">
        <v>122</v>
      </c>
      <c r="B19" s="44">
        <v>1200</v>
      </c>
    </row>
    <row r="20" spans="1:4" ht="15" customHeight="1" x14ac:dyDescent="0.25">
      <c r="A20" s="10" t="s">
        <v>123</v>
      </c>
      <c r="B20" s="44">
        <v>5000</v>
      </c>
    </row>
    <row r="21" spans="1:4" ht="15" customHeight="1" x14ac:dyDescent="0.25">
      <c r="A21" s="10" t="s">
        <v>124</v>
      </c>
      <c r="B21" s="45">
        <f>IFERROR(B19/B20*365,0)</f>
        <v>87.6</v>
      </c>
    </row>
    <row r="22" spans="1:4" ht="15" customHeight="1" x14ac:dyDescent="0.25">
      <c r="A22" s="43" t="s">
        <v>125</v>
      </c>
    </row>
    <row r="23" spans="1:4" ht="15" customHeight="1" x14ac:dyDescent="0.25">
      <c r="A23" s="10" t="s">
        <v>126</v>
      </c>
      <c r="B23" s="44">
        <v>9000</v>
      </c>
    </row>
    <row r="24" spans="1:4" ht="15" customHeight="1" x14ac:dyDescent="0.25">
      <c r="A24" s="10" t="s">
        <v>127</v>
      </c>
      <c r="B24" s="44">
        <v>3000</v>
      </c>
    </row>
    <row r="25" spans="1:4" ht="15" customHeight="1" x14ac:dyDescent="0.25">
      <c r="A25" s="10" t="s">
        <v>128</v>
      </c>
      <c r="B25" s="46">
        <f>IFERROR(B23/B24,0)</f>
        <v>3</v>
      </c>
    </row>
    <row r="26" spans="1:4" ht="15" customHeight="1" x14ac:dyDescent="0.25">
      <c r="A26" s="43" t="s">
        <v>129</v>
      </c>
    </row>
    <row r="27" spans="1:4" ht="15" customHeight="1" x14ac:dyDescent="0.25">
      <c r="A27" s="10" t="s">
        <v>130</v>
      </c>
      <c r="B27" s="44">
        <v>1800</v>
      </c>
    </row>
    <row r="28" spans="1:4" ht="15" customHeight="1" x14ac:dyDescent="0.25">
      <c r="A28" s="10" t="s">
        <v>131</v>
      </c>
      <c r="B28" s="44">
        <v>60000</v>
      </c>
    </row>
    <row r="29" spans="1:4" ht="15" customHeight="1" x14ac:dyDescent="0.25">
      <c r="A29" s="10" t="s">
        <v>132</v>
      </c>
      <c r="B29" s="42">
        <f>IFERROR(B27/B28,0)</f>
        <v>0.03</v>
      </c>
    </row>
    <row r="30" spans="1:4" ht="15" customHeight="1" x14ac:dyDescent="0.25">
      <c r="A30" s="43" t="s">
        <v>133</v>
      </c>
    </row>
    <row r="31" spans="1:4" ht="15" customHeight="1" x14ac:dyDescent="0.25">
      <c r="A31" s="10" t="s">
        <v>134</v>
      </c>
      <c r="B31" s="44">
        <v>6500</v>
      </c>
    </row>
    <row r="32" spans="1:4" ht="15" customHeight="1" x14ac:dyDescent="0.25">
      <c r="A32" s="10" t="s">
        <v>135</v>
      </c>
      <c r="B32" s="44">
        <v>2200</v>
      </c>
    </row>
    <row r="33" spans="1:4" ht="15" customHeight="1" x14ac:dyDescent="0.25">
      <c r="A33" s="10" t="s">
        <v>136</v>
      </c>
      <c r="B33" s="44">
        <v>9000</v>
      </c>
    </row>
    <row r="34" spans="1:4" ht="15" customHeight="1" x14ac:dyDescent="0.25">
      <c r="A34" s="10" t="s">
        <v>137</v>
      </c>
      <c r="B34" s="42">
        <f>IFERROR((B31+B32)/B33,0)</f>
        <v>0.96666666666666667</v>
      </c>
    </row>
    <row r="35" spans="1:4" ht="15" customHeight="1" x14ac:dyDescent="0.25">
      <c r="A35" s="43" t="s">
        <v>138</v>
      </c>
    </row>
    <row r="36" spans="1:4" ht="15" customHeight="1" x14ac:dyDescent="0.25">
      <c r="A36" s="10" t="s">
        <v>139</v>
      </c>
      <c r="B36" s="44">
        <v>1500</v>
      </c>
    </row>
    <row r="37" spans="1:4" ht="15" customHeight="1" x14ac:dyDescent="0.25">
      <c r="A37" s="10" t="s">
        <v>140</v>
      </c>
      <c r="B37" s="47">
        <v>0.03</v>
      </c>
    </row>
    <row r="38" spans="1:4" ht="15" customHeight="1" x14ac:dyDescent="0.25">
      <c r="A38" s="10" t="s">
        <v>141</v>
      </c>
      <c r="B38" s="48">
        <v>4.5</v>
      </c>
    </row>
    <row r="39" spans="1:4" ht="15" customHeight="1" x14ac:dyDescent="0.25">
      <c r="A39" s="10" t="s">
        <v>142</v>
      </c>
      <c r="B39" s="48">
        <v>4</v>
      </c>
    </row>
    <row r="41" spans="1:4" ht="15" customHeight="1" x14ac:dyDescent="0.25">
      <c r="A41" s="5" t="s">
        <v>143</v>
      </c>
      <c r="B41" s="5"/>
      <c r="C41" s="5"/>
      <c r="D41" s="5"/>
    </row>
    <row r="42" spans="1:4" ht="15" customHeight="1" x14ac:dyDescent="0.25">
      <c r="A42" s="1" t="s">
        <v>144</v>
      </c>
      <c r="B42" s="1"/>
      <c r="C42" s="1"/>
      <c r="D42" s="1"/>
    </row>
    <row r="43" spans="1:4" ht="15" customHeight="1" x14ac:dyDescent="0.25">
      <c r="A43" s="1"/>
      <c r="B43" s="1"/>
      <c r="C43" s="1"/>
      <c r="D43" s="1"/>
    </row>
    <row r="44" spans="1:4" ht="15" customHeight="1" x14ac:dyDescent="0.25">
      <c r="A44" s="1"/>
      <c r="B44" s="1"/>
      <c r="C44" s="1"/>
      <c r="D44" s="1"/>
    </row>
    <row r="45" spans="1:4" ht="15" customHeight="1" x14ac:dyDescent="0.25">
      <c r="A45" s="3" t="s">
        <v>145</v>
      </c>
      <c r="B45" s="3"/>
      <c r="C45" s="3"/>
      <c r="D45" s="3"/>
    </row>
    <row r="46" spans="1:4" ht="15" customHeight="1" x14ac:dyDescent="0.25">
      <c r="A46" s="31" t="s">
        <v>146</v>
      </c>
      <c r="B46" s="31" t="s">
        <v>147</v>
      </c>
      <c r="C46" s="31" t="s">
        <v>148</v>
      </c>
    </row>
    <row r="47" spans="1:4" ht="15" customHeight="1" x14ac:dyDescent="0.25">
      <c r="A47" s="49" t="s">
        <v>149</v>
      </c>
      <c r="B47" s="24">
        <v>0.08</v>
      </c>
      <c r="C47" s="20" t="str">
        <f>IF(B47&gt;=0.1,"FLAG","ok")</f>
        <v>ok</v>
      </c>
    </row>
    <row r="48" spans="1:4" ht="15" customHeight="1" x14ac:dyDescent="0.25">
      <c r="A48" s="49" t="s">
        <v>150</v>
      </c>
      <c r="B48" s="24">
        <v>0.15</v>
      </c>
      <c r="C48" s="20" t="str">
        <f>IF(B48&gt;=0.1,"FLAG","ok")</f>
        <v>FLAG</v>
      </c>
    </row>
    <row r="49" spans="1:3" ht="15" customHeight="1" x14ac:dyDescent="0.25">
      <c r="A49" s="49" t="s">
        <v>151</v>
      </c>
      <c r="B49" s="24">
        <v>0.05</v>
      </c>
      <c r="C49" s="20" t="str">
        <f>IF(B49&gt;=0.1,"FLAG","ok")</f>
        <v>ok</v>
      </c>
    </row>
    <row r="50" spans="1:3" ht="15" customHeight="1" x14ac:dyDescent="0.25">
      <c r="A50" s="49" t="s">
        <v>152</v>
      </c>
      <c r="B50" s="24">
        <v>0.04</v>
      </c>
      <c r="C50" s="20" t="str">
        <f>IF(B50&gt;=0.1,"FLAG","ok")</f>
        <v>ok</v>
      </c>
    </row>
  </sheetData>
  <mergeCells count="7">
    <mergeCell ref="A42:D44"/>
    <mergeCell ref="A45:D45"/>
    <mergeCell ref="A1:D1"/>
    <mergeCell ref="A3:D3"/>
    <mergeCell ref="A10:D10"/>
    <mergeCell ref="A17:D17"/>
    <mergeCell ref="A41:D4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32" customWidth="1"/>
    <col min="2" max="4" width="16" customWidth="1"/>
  </cols>
  <sheetData>
    <row r="1" spans="1:4" ht="15.75" customHeight="1" x14ac:dyDescent="0.25">
      <c r="A1" s="6" t="s">
        <v>153</v>
      </c>
      <c r="B1" s="6"/>
      <c r="C1" s="6"/>
      <c r="D1" s="6"/>
    </row>
    <row r="3" spans="1:4" ht="15" customHeight="1" x14ac:dyDescent="0.25">
      <c r="A3" s="5" t="s">
        <v>154</v>
      </c>
      <c r="B3" s="5"/>
      <c r="C3" s="5"/>
      <c r="D3" s="5"/>
    </row>
    <row r="4" spans="1:4" ht="15" customHeight="1" x14ac:dyDescent="0.25">
      <c r="A4" s="10" t="s">
        <v>155</v>
      </c>
      <c r="B4" s="8" t="s">
        <v>156</v>
      </c>
    </row>
    <row r="5" spans="1:4" ht="15" customHeight="1" x14ac:dyDescent="0.25">
      <c r="A5" s="10" t="s">
        <v>157</v>
      </c>
      <c r="B5" s="44">
        <v>1800</v>
      </c>
    </row>
    <row r="6" spans="1:4" ht="15" customHeight="1" x14ac:dyDescent="0.25">
      <c r="A6" s="10" t="s">
        <v>158</v>
      </c>
      <c r="B6" s="44">
        <v>2200</v>
      </c>
    </row>
    <row r="7" spans="1:4" ht="15" customHeight="1" x14ac:dyDescent="0.25">
      <c r="A7" s="10" t="s">
        <v>159</v>
      </c>
      <c r="B7" s="42">
        <f>IFERROR(ABS(B6-B5)/ABS(B5),0)</f>
        <v>0.22222222222222221</v>
      </c>
    </row>
    <row r="8" spans="1:4" ht="15" customHeight="1" x14ac:dyDescent="0.25">
      <c r="A8" s="10" t="s">
        <v>160</v>
      </c>
      <c r="B8" s="7" t="str">
        <f>IF(B7&gt;0.2,"FLAG &gt;20%","ok")</f>
        <v>FLAG &gt;20%</v>
      </c>
    </row>
    <row r="10" spans="1:4" ht="15" customHeight="1" x14ac:dyDescent="0.25">
      <c r="A10" s="43" t="s">
        <v>161</v>
      </c>
      <c r="B10" s="43" t="s">
        <v>162</v>
      </c>
      <c r="C10" s="43" t="s">
        <v>163</v>
      </c>
    </row>
    <row r="11" spans="1:4" ht="15" customHeight="1" x14ac:dyDescent="0.25">
      <c r="A11" s="12" t="s">
        <v>164</v>
      </c>
      <c r="B11" s="38">
        <v>250</v>
      </c>
      <c r="C11" s="12" t="s">
        <v>165</v>
      </c>
    </row>
    <row r="12" spans="1:4" ht="15" customHeight="1" x14ac:dyDescent="0.25">
      <c r="A12" s="12" t="s">
        <v>166</v>
      </c>
      <c r="B12" s="38">
        <v>100</v>
      </c>
      <c r="C12" s="12" t="s">
        <v>167</v>
      </c>
    </row>
    <row r="13" spans="1:4" ht="15" customHeight="1" x14ac:dyDescent="0.25">
      <c r="A13" s="12" t="s">
        <v>168</v>
      </c>
      <c r="B13" s="38">
        <v>50</v>
      </c>
      <c r="C13" s="12" t="s">
        <v>169</v>
      </c>
    </row>
    <row r="15" spans="1:4" ht="15" customHeight="1" x14ac:dyDescent="0.25">
      <c r="A15" s="5" t="s">
        <v>170</v>
      </c>
      <c r="B15" s="5"/>
      <c r="C15" s="5"/>
      <c r="D15" s="5"/>
    </row>
    <row r="16" spans="1:4" ht="15" customHeight="1" x14ac:dyDescent="0.25">
      <c r="A16" s="10" t="s">
        <v>171</v>
      </c>
      <c r="B16" s="50">
        <v>5</v>
      </c>
    </row>
    <row r="17" spans="1:4" ht="15" customHeight="1" x14ac:dyDescent="0.25">
      <c r="A17" s="10" t="s">
        <v>172</v>
      </c>
      <c r="B17" s="44">
        <v>900</v>
      </c>
    </row>
    <row r="18" spans="1:4" ht="15" customHeight="1" x14ac:dyDescent="0.25">
      <c r="A18" s="10" t="s">
        <v>173</v>
      </c>
      <c r="B18" s="44">
        <v>800</v>
      </c>
    </row>
    <row r="19" spans="1:4" ht="15" customHeight="1" x14ac:dyDescent="0.25">
      <c r="A19" s="10" t="s">
        <v>174</v>
      </c>
      <c r="B19" s="44">
        <v>700</v>
      </c>
    </row>
    <row r="20" spans="1:4" ht="15" customHeight="1" x14ac:dyDescent="0.25">
      <c r="A20" s="10" t="s">
        <v>175</v>
      </c>
      <c r="B20" s="44">
        <v>650</v>
      </c>
    </row>
    <row r="21" spans="1:4" ht="15" customHeight="1" x14ac:dyDescent="0.25">
      <c r="A21" s="10" t="s">
        <v>176</v>
      </c>
      <c r="B21" s="44">
        <v>600</v>
      </c>
    </row>
    <row r="22" spans="1:4" ht="15" customHeight="1" x14ac:dyDescent="0.25">
      <c r="A22" s="10" t="s">
        <v>177</v>
      </c>
      <c r="B22" s="51">
        <f>IFERROR(SUM(B18:B21)/B16,0)</f>
        <v>550</v>
      </c>
    </row>
    <row r="23" spans="1:4" ht="15" customHeight="1" x14ac:dyDescent="0.25">
      <c r="A23" s="10" t="s">
        <v>178</v>
      </c>
      <c r="B23" s="51">
        <f>B5</f>
        <v>1800</v>
      </c>
    </row>
    <row r="24" spans="1:4" ht="15" customHeight="1" x14ac:dyDescent="0.25">
      <c r="A24" s="10" t="s">
        <v>179</v>
      </c>
      <c r="B24" s="52">
        <f>B23+B17-B22</f>
        <v>2150</v>
      </c>
      <c r="C24" s="19" t="s">
        <v>180</v>
      </c>
    </row>
    <row r="26" spans="1:4" ht="15" customHeight="1" x14ac:dyDescent="0.25">
      <c r="A26" s="5" t="s">
        <v>181</v>
      </c>
      <c r="B26" s="5"/>
      <c r="C26" s="5"/>
      <c r="D26" s="5"/>
    </row>
    <row r="27" spans="1:4" ht="15" customHeight="1" x14ac:dyDescent="0.25">
      <c r="A27" s="10" t="s">
        <v>182</v>
      </c>
      <c r="B27" s="44">
        <v>1400</v>
      </c>
    </row>
    <row r="28" spans="1:4" ht="15" customHeight="1" x14ac:dyDescent="0.25">
      <c r="A28" s="10" t="s">
        <v>183</v>
      </c>
      <c r="B28" s="44">
        <v>1900</v>
      </c>
    </row>
    <row r="29" spans="1:4" ht="15" customHeight="1" x14ac:dyDescent="0.25">
      <c r="A29" s="10" t="s">
        <v>184</v>
      </c>
      <c r="B29" s="44">
        <v>-600</v>
      </c>
    </row>
    <row r="30" spans="1:4" ht="15" customHeight="1" x14ac:dyDescent="0.25">
      <c r="A30" s="10" t="s">
        <v>185</v>
      </c>
      <c r="B30" s="44">
        <v>22000</v>
      </c>
    </row>
    <row r="31" spans="1:4" ht="15" customHeight="1" x14ac:dyDescent="0.25">
      <c r="A31" s="10" t="s">
        <v>186</v>
      </c>
      <c r="B31" s="44">
        <v>24000</v>
      </c>
    </row>
    <row r="32" spans="1:4" ht="15" customHeight="1" x14ac:dyDescent="0.25">
      <c r="A32" s="10" t="s">
        <v>187</v>
      </c>
      <c r="B32" s="51">
        <f>(B30+B31)/2</f>
        <v>23000</v>
      </c>
    </row>
    <row r="33" spans="1:2" ht="15" customHeight="1" x14ac:dyDescent="0.25">
      <c r="A33" s="10" t="s">
        <v>188</v>
      </c>
      <c r="B33" s="42">
        <f>IFERROR((B27-B28-B29)/B32,0)</f>
        <v>4.3478260869565218E-3</v>
      </c>
    </row>
    <row r="34" spans="1:2" ht="15" customHeight="1" x14ac:dyDescent="0.25">
      <c r="A34" s="10" t="s">
        <v>189</v>
      </c>
      <c r="B34" s="7" t="str">
        <f>IF(ABS(B33)&gt;0.1,"FLAG","ok")</f>
        <v>ok</v>
      </c>
    </row>
    <row r="36" spans="1:2" ht="15" customHeight="1" x14ac:dyDescent="0.25">
      <c r="A36" s="43" t="s">
        <v>190</v>
      </c>
    </row>
    <row r="37" spans="1:2" ht="15" customHeight="1" x14ac:dyDescent="0.25">
      <c r="A37" s="10" t="s">
        <v>191</v>
      </c>
      <c r="B37" s="50">
        <v>6</v>
      </c>
    </row>
    <row r="38" spans="1:2" ht="15" customHeight="1" x14ac:dyDescent="0.25">
      <c r="A38" s="10" t="s">
        <v>192</v>
      </c>
      <c r="B38" s="53">
        <v>3.2</v>
      </c>
    </row>
    <row r="39" spans="1:2" ht="15" customHeight="1" x14ac:dyDescent="0.25">
      <c r="A39" s="10" t="s">
        <v>193</v>
      </c>
      <c r="B39" s="47">
        <v>0.115</v>
      </c>
    </row>
  </sheetData>
  <mergeCells count="4">
    <mergeCell ref="A1:D1"/>
    <mergeCell ref="A3:D3"/>
    <mergeCell ref="A15:D15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showGridLines="0" zoomScaleNormal="100" workbookViewId="0">
      <selection sqref="A1:C1"/>
    </sheetView>
  </sheetViews>
  <sheetFormatPr defaultColWidth="8.7109375" defaultRowHeight="15" x14ac:dyDescent="0.25"/>
  <cols>
    <col min="1" max="1" width="30" customWidth="1"/>
    <col min="2" max="2" width="16" customWidth="1"/>
    <col min="3" max="3" width="34" customWidth="1"/>
  </cols>
  <sheetData>
    <row r="1" spans="1:3" ht="15.75" customHeight="1" x14ac:dyDescent="0.25">
      <c r="A1" s="6" t="s">
        <v>194</v>
      </c>
      <c r="B1" s="6"/>
      <c r="C1" s="6"/>
    </row>
    <row r="3" spans="1:3" ht="15" customHeight="1" x14ac:dyDescent="0.25">
      <c r="A3" s="5" t="s">
        <v>195</v>
      </c>
      <c r="B3" s="5"/>
      <c r="C3" s="5"/>
    </row>
    <row r="4" spans="1:3" ht="15" customHeight="1" x14ac:dyDescent="0.25">
      <c r="A4" s="10" t="s">
        <v>196</v>
      </c>
      <c r="B4" s="54">
        <v>4.4499999999999998E-2</v>
      </c>
      <c r="C4" s="19" t="s">
        <v>197</v>
      </c>
    </row>
    <row r="5" spans="1:3" ht="15" customHeight="1" x14ac:dyDescent="0.25">
      <c r="A5" s="10" t="s">
        <v>198</v>
      </c>
      <c r="B5" s="54">
        <v>4.2299999999999997E-2</v>
      </c>
      <c r="C5" s="19" t="s">
        <v>199</v>
      </c>
    </row>
    <row r="6" spans="1:3" ht="15" customHeight="1" x14ac:dyDescent="0.25">
      <c r="A6" s="10" t="s">
        <v>200</v>
      </c>
      <c r="B6" s="53">
        <v>1.1000000000000001</v>
      </c>
      <c r="C6" s="19" t="s">
        <v>201</v>
      </c>
    </row>
    <row r="7" spans="1:3" ht="15" customHeight="1" x14ac:dyDescent="0.25">
      <c r="A7" s="10" t="s">
        <v>202</v>
      </c>
      <c r="B7" s="55">
        <f>B4+B6*B5</f>
        <v>9.103E-2</v>
      </c>
      <c r="C7" s="19" t="s">
        <v>203</v>
      </c>
    </row>
    <row r="9" spans="1:3" ht="15" customHeight="1" x14ac:dyDescent="0.25">
      <c r="A9" s="5" t="s">
        <v>204</v>
      </c>
      <c r="B9" s="5"/>
      <c r="C9" s="5"/>
    </row>
    <row r="10" spans="1:3" ht="15" customHeight="1" x14ac:dyDescent="0.25">
      <c r="A10" s="10" t="s">
        <v>205</v>
      </c>
      <c r="B10" s="47">
        <v>5.5E-2</v>
      </c>
    </row>
    <row r="11" spans="1:3" ht="15" customHeight="1" x14ac:dyDescent="0.25">
      <c r="A11" s="10" t="s">
        <v>206</v>
      </c>
      <c r="B11" s="47">
        <v>0.21</v>
      </c>
    </row>
    <row r="12" spans="1:3" ht="15" customHeight="1" x14ac:dyDescent="0.25">
      <c r="A12" s="10" t="s">
        <v>207</v>
      </c>
      <c r="B12" s="42">
        <f>B10*(1-B11)</f>
        <v>4.3450000000000003E-2</v>
      </c>
    </row>
    <row r="14" spans="1:3" ht="15" customHeight="1" x14ac:dyDescent="0.25">
      <c r="A14" s="5" t="s">
        <v>208</v>
      </c>
      <c r="B14" s="5"/>
      <c r="C14" s="5"/>
    </row>
    <row r="15" spans="1:3" ht="15" customHeight="1" x14ac:dyDescent="0.25">
      <c r="A15" s="10" t="s">
        <v>209</v>
      </c>
      <c r="B15" s="56">
        <f>Phase1_Anchor!B8</f>
        <v>52000</v>
      </c>
    </row>
    <row r="16" spans="1:3" ht="15" customHeight="1" x14ac:dyDescent="0.25">
      <c r="A16" s="10" t="s">
        <v>210</v>
      </c>
      <c r="B16" s="56">
        <f>Phase1_Anchor!B14</f>
        <v>2000</v>
      </c>
    </row>
    <row r="17" spans="1:3" ht="15" customHeight="1" x14ac:dyDescent="0.25">
      <c r="A17" s="10" t="s">
        <v>211</v>
      </c>
      <c r="B17" s="51">
        <f>B15+B16</f>
        <v>54000</v>
      </c>
    </row>
    <row r="18" spans="1:3" ht="15" customHeight="1" x14ac:dyDescent="0.25">
      <c r="A18" s="10" t="s">
        <v>212</v>
      </c>
      <c r="B18" s="42">
        <f>IFERROR(B15/B17,0)</f>
        <v>0.96296296296296291</v>
      </c>
    </row>
    <row r="19" spans="1:3" ht="15" customHeight="1" x14ac:dyDescent="0.25">
      <c r="A19" s="10" t="s">
        <v>213</v>
      </c>
      <c r="B19" s="42">
        <f>IFERROR(B16/B17,0)</f>
        <v>3.7037037037037035E-2</v>
      </c>
    </row>
    <row r="21" spans="1:3" ht="15" customHeight="1" x14ac:dyDescent="0.25">
      <c r="A21" s="5" t="s">
        <v>214</v>
      </c>
      <c r="B21" s="5"/>
      <c r="C21" s="5"/>
    </row>
    <row r="22" spans="1:3" ht="15" customHeight="1" x14ac:dyDescent="0.25">
      <c r="A22" s="10" t="s">
        <v>214</v>
      </c>
      <c r="B22" s="55">
        <f>B18*B7+B19*B12</f>
        <v>8.9267777777777765E-2</v>
      </c>
      <c r="C22" s="19" t="s">
        <v>215</v>
      </c>
    </row>
    <row r="24" spans="1:3" ht="15" customHeight="1" x14ac:dyDescent="0.25">
      <c r="A24" s="3" t="s">
        <v>216</v>
      </c>
      <c r="B24" s="3"/>
      <c r="C24" s="3"/>
    </row>
    <row r="25" spans="1:3" ht="15" customHeight="1" x14ac:dyDescent="0.25">
      <c r="A25" s="20" t="s">
        <v>217</v>
      </c>
      <c r="B25" s="57">
        <v>0.9</v>
      </c>
    </row>
    <row r="26" spans="1:3" ht="15" customHeight="1" x14ac:dyDescent="0.25">
      <c r="A26" s="20" t="s">
        <v>218</v>
      </c>
      <c r="B26" s="58">
        <f>Phase1_Anchor!B14/Phase1_Anchor!B8</f>
        <v>3.8461538461538464E-2</v>
      </c>
    </row>
    <row r="27" spans="1:3" ht="15" customHeight="1" x14ac:dyDescent="0.25">
      <c r="A27" s="30" t="s">
        <v>219</v>
      </c>
      <c r="B27" s="59">
        <f>B25*(1+(1-B11)*B26)</f>
        <v>0.92734615384615393</v>
      </c>
      <c r="C27" s="20" t="s">
        <v>220</v>
      </c>
    </row>
  </sheetData>
  <mergeCells count="6">
    <mergeCell ref="A24:C24"/>
    <mergeCell ref="A1:C1"/>
    <mergeCell ref="A3:C3"/>
    <mergeCell ref="A9:C9"/>
    <mergeCell ref="A14:C14"/>
    <mergeCell ref="A21:C2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5"/>
  <sheetViews>
    <sheetView showGridLines="0" zoomScaleNormal="100" workbookViewId="0">
      <selection activeCell="D49" sqref="D49"/>
    </sheetView>
  </sheetViews>
  <sheetFormatPr defaultColWidth="8.7109375" defaultRowHeight="15" x14ac:dyDescent="0.25"/>
  <cols>
    <col min="1" max="1" width="30" customWidth="1"/>
    <col min="2" max="6" width="14" customWidth="1"/>
  </cols>
  <sheetData>
    <row r="1" spans="1:11" ht="15.75" customHeight="1" x14ac:dyDescent="0.25">
      <c r="A1" s="6" t="s">
        <v>221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 ht="15" customHeight="1" x14ac:dyDescent="0.25">
      <c r="A3" s="88" t="s">
        <v>222</v>
      </c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11" ht="15" customHeight="1" x14ac:dyDescent="0.25">
      <c r="A4" s="60"/>
      <c r="B4" s="13" t="s">
        <v>223</v>
      </c>
      <c r="C4" s="13" t="s">
        <v>224</v>
      </c>
    </row>
    <row r="5" spans="1:11" ht="15" customHeight="1" x14ac:dyDescent="0.25">
      <c r="A5" s="14" t="s">
        <v>225</v>
      </c>
      <c r="B5" s="38">
        <v>2500</v>
      </c>
      <c r="C5" s="38">
        <v>2700</v>
      </c>
    </row>
    <row r="6" spans="1:11" ht="15" customHeight="1" x14ac:dyDescent="0.25">
      <c r="A6" s="14" t="s">
        <v>226</v>
      </c>
      <c r="B6" s="40">
        <v>0</v>
      </c>
      <c r="C6" s="40">
        <v>0.02</v>
      </c>
    </row>
    <row r="7" spans="1:11" ht="15" customHeight="1" x14ac:dyDescent="0.25">
      <c r="A7" s="14" t="s">
        <v>214</v>
      </c>
      <c r="B7" s="61">
        <f>WACC_Build!B22</f>
        <v>8.9267777777777765E-2</v>
      </c>
      <c r="C7" s="17">
        <f>B7</f>
        <v>8.9267777777777765E-2</v>
      </c>
    </row>
    <row r="8" spans="1:11" ht="15" customHeight="1" x14ac:dyDescent="0.25">
      <c r="A8" s="14" t="s">
        <v>227</v>
      </c>
      <c r="B8" s="18" t="str">
        <f>IF(B7&gt;B6,"OK","ERR")</f>
        <v>OK</v>
      </c>
      <c r="C8" s="18" t="str">
        <f>IF(C7&gt;C6,"OK","ERR")</f>
        <v>OK</v>
      </c>
    </row>
    <row r="9" spans="1:11" ht="15" customHeight="1" x14ac:dyDescent="0.25">
      <c r="A9" s="14" t="s">
        <v>228</v>
      </c>
      <c r="B9" s="40">
        <v>0.05</v>
      </c>
      <c r="C9" s="40">
        <v>0.1</v>
      </c>
    </row>
    <row r="10" spans="1:11" ht="15" customHeight="1" x14ac:dyDescent="0.25">
      <c r="A10" s="87" t="s">
        <v>229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</row>
    <row r="11" spans="1:11" ht="15" customHeight="1" x14ac:dyDescent="0.25">
      <c r="A11" s="13" t="s">
        <v>230</v>
      </c>
      <c r="B11" s="62">
        <v>1</v>
      </c>
      <c r="C11" s="62">
        <v>2</v>
      </c>
      <c r="D11" s="62">
        <v>3</v>
      </c>
      <c r="E11" s="62">
        <v>4</v>
      </c>
      <c r="F11" s="62">
        <v>5</v>
      </c>
      <c r="G11" s="62">
        <v>6</v>
      </c>
      <c r="H11" s="62">
        <v>7</v>
      </c>
      <c r="I11" s="62">
        <v>8</v>
      </c>
      <c r="J11" s="62">
        <v>9</v>
      </c>
      <c r="K11" s="62">
        <v>10</v>
      </c>
    </row>
    <row r="12" spans="1:11" ht="15" customHeight="1" x14ac:dyDescent="0.25">
      <c r="A12" s="14" t="s">
        <v>231</v>
      </c>
      <c r="B12" s="37">
        <f>$B$5*(1+($B$9+($B$6-$B$9)*(B11-1)/9))</f>
        <v>2625</v>
      </c>
      <c r="C12" s="37">
        <f t="shared" ref="C12:K12" si="0">B12*(1+($B$9+($B$6-$B$9)*(C11-1)/9))</f>
        <v>2741.666666666667</v>
      </c>
      <c r="D12" s="37">
        <f t="shared" si="0"/>
        <v>2848.2870370370374</v>
      </c>
      <c r="E12" s="37">
        <f t="shared" si="0"/>
        <v>2943.2299382716055</v>
      </c>
      <c r="F12" s="37">
        <f t="shared" si="0"/>
        <v>3024.9863254458164</v>
      </c>
      <c r="G12" s="37">
        <f t="shared" si="0"/>
        <v>3092.2082437890567</v>
      </c>
      <c r="H12" s="37">
        <f t="shared" si="0"/>
        <v>3143.7450478522073</v>
      </c>
      <c r="I12" s="37">
        <f t="shared" si="0"/>
        <v>3178.6755483838983</v>
      </c>
      <c r="J12" s="37">
        <f t="shared" si="0"/>
        <v>3196.3348569860309</v>
      </c>
      <c r="K12" s="37">
        <f t="shared" si="0"/>
        <v>3196.3348569860309</v>
      </c>
    </row>
    <row r="13" spans="1:11" ht="15" customHeight="1" x14ac:dyDescent="0.25">
      <c r="A13" s="14" t="s">
        <v>232</v>
      </c>
      <c r="B13" s="63">
        <f t="shared" ref="B13:K13" si="1">1/(1+$B$7)^B11</f>
        <v>0.9180479037396172</v>
      </c>
      <c r="C13" s="63">
        <f t="shared" si="1"/>
        <v>0.84281195356070537</v>
      </c>
      <c r="D13" s="63">
        <f t="shared" si="1"/>
        <v>0.77374174721309708</v>
      </c>
      <c r="E13" s="63">
        <f t="shared" si="1"/>
        <v>0.71033198906481254</v>
      </c>
      <c r="F13" s="63">
        <f t="shared" si="1"/>
        <v>0.6521187935201439</v>
      </c>
      <c r="G13" s="63">
        <f t="shared" si="1"/>
        <v>0.59867629138037626</v>
      </c>
      <c r="H13" s="63">
        <f t="shared" si="1"/>
        <v>0.54961351432036265</v>
      </c>
      <c r="I13" s="63">
        <f t="shared" si="1"/>
        <v>0.50457153468877303</v>
      </c>
      <c r="J13" s="63">
        <f t="shared" si="1"/>
        <v>0.46322083970770961</v>
      </c>
      <c r="K13" s="63">
        <f t="shared" si="1"/>
        <v>0.42525892086216799</v>
      </c>
    </row>
    <row r="14" spans="1:11" ht="15" customHeight="1" x14ac:dyDescent="0.25">
      <c r="A14" s="14" t="s">
        <v>233</v>
      </c>
      <c r="B14" s="37">
        <f t="shared" ref="B14:K14" si="2">B12*B13</f>
        <v>2409.8757473164951</v>
      </c>
      <c r="C14" s="37">
        <f t="shared" si="2"/>
        <v>2310.7094393456009</v>
      </c>
      <c r="D14" s="37">
        <f t="shared" si="2"/>
        <v>2203.8385886014526</v>
      </c>
      <c r="E14" s="37">
        <f t="shared" si="2"/>
        <v>2090.670376327575</v>
      </c>
      <c r="F14" s="37">
        <f t="shared" si="2"/>
        <v>1972.6504329646591</v>
      </c>
      <c r="G14" s="37">
        <f t="shared" si="2"/>
        <v>1851.2317635674588</v>
      </c>
      <c r="H14" s="37">
        <f t="shared" si="2"/>
        <v>1727.8447638772884</v>
      </c>
      <c r="I14" s="37">
        <f t="shared" si="2"/>
        <v>1603.8691997257408</v>
      </c>
      <c r="J14" s="37">
        <f t="shared" si="2"/>
        <v>1480.6089164400912</v>
      </c>
      <c r="K14" s="37">
        <f t="shared" si="2"/>
        <v>1359.2699119960116</v>
      </c>
    </row>
    <row r="15" spans="1:11" ht="15" customHeight="1" x14ac:dyDescent="0.25">
      <c r="A15" s="14" t="s">
        <v>234</v>
      </c>
      <c r="B15" s="37">
        <f>$C$5*(1+($C$9+($C$6-$C$9)*(B11-1)/9))</f>
        <v>2970.0000000000005</v>
      </c>
      <c r="C15" s="37">
        <f t="shared" ref="C15:K15" si="3">B15*(1+($C$9+($C$6-$C$9)*(C11-1)/9))</f>
        <v>3240.6000000000004</v>
      </c>
      <c r="D15" s="37">
        <f t="shared" si="3"/>
        <v>3507.0493333333338</v>
      </c>
      <c r="E15" s="37">
        <f t="shared" si="3"/>
        <v>3764.2329511111116</v>
      </c>
      <c r="F15" s="37">
        <f t="shared" si="3"/>
        <v>4006.8168524049393</v>
      </c>
      <c r="G15" s="37">
        <f t="shared" si="3"/>
        <v>4229.4177886496582</v>
      </c>
      <c r="H15" s="37">
        <f t="shared" si="3"/>
        <v>4426.790618786642</v>
      </c>
      <c r="I15" s="37">
        <f t="shared" si="3"/>
        <v>4594.0249310519148</v>
      </c>
      <c r="J15" s="37">
        <f t="shared" si="3"/>
        <v>4726.741206837859</v>
      </c>
      <c r="K15" s="37">
        <f t="shared" si="3"/>
        <v>4821.2760309746163</v>
      </c>
    </row>
    <row r="16" spans="1:11" ht="15" customHeight="1" x14ac:dyDescent="0.25">
      <c r="A16" s="14" t="s">
        <v>232</v>
      </c>
      <c r="B16" s="63">
        <f t="shared" ref="B16:K16" si="4">1/(1+$C$7)^B11</f>
        <v>0.9180479037396172</v>
      </c>
      <c r="C16" s="63">
        <f t="shared" si="4"/>
        <v>0.84281195356070537</v>
      </c>
      <c r="D16" s="63">
        <f t="shared" si="4"/>
        <v>0.77374174721309708</v>
      </c>
      <c r="E16" s="63">
        <f t="shared" si="4"/>
        <v>0.71033198906481254</v>
      </c>
      <c r="F16" s="63">
        <f t="shared" si="4"/>
        <v>0.6521187935201439</v>
      </c>
      <c r="G16" s="63">
        <f t="shared" si="4"/>
        <v>0.59867629138037626</v>
      </c>
      <c r="H16" s="63">
        <f t="shared" si="4"/>
        <v>0.54961351432036265</v>
      </c>
      <c r="I16" s="63">
        <f t="shared" si="4"/>
        <v>0.50457153468877303</v>
      </c>
      <c r="J16" s="63">
        <f t="shared" si="4"/>
        <v>0.46322083970770961</v>
      </c>
      <c r="K16" s="63">
        <f t="shared" si="4"/>
        <v>0.42525892086216799</v>
      </c>
    </row>
    <row r="17" spans="1:11" ht="15" customHeight="1" x14ac:dyDescent="0.25">
      <c r="A17" s="14" t="s">
        <v>235</v>
      </c>
      <c r="B17" s="37">
        <f t="shared" ref="B17:K17" si="5">B15*B16</f>
        <v>2726.6022741066636</v>
      </c>
      <c r="C17" s="37">
        <f t="shared" si="5"/>
        <v>2731.2164167088222</v>
      </c>
      <c r="D17" s="37">
        <f t="shared" si="5"/>
        <v>2713.5504787358609</v>
      </c>
      <c r="E17" s="37">
        <f t="shared" si="5"/>
        <v>2673.855079466065</v>
      </c>
      <c r="F17" s="37">
        <f t="shared" si="5"/>
        <v>2612.9205716464894</v>
      </c>
      <c r="G17" s="37">
        <f t="shared" si="5"/>
        <v>2532.0521564069695</v>
      </c>
      <c r="H17" s="37">
        <f t="shared" si="5"/>
        <v>2433.0239491517391</v>
      </c>
      <c r="I17" s="37">
        <f t="shared" si="5"/>
        <v>2318.0142098593492</v>
      </c>
      <c r="J17" s="37">
        <f t="shared" si="5"/>
        <v>2189.5250309124658</v>
      </c>
      <c r="K17" s="37">
        <f t="shared" si="5"/>
        <v>2050.2906421109019</v>
      </c>
    </row>
    <row r="19" spans="1:11" ht="15" customHeight="1" x14ac:dyDescent="0.25">
      <c r="A19" s="5" t="s">
        <v>236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5" customHeight="1" x14ac:dyDescent="0.25">
      <c r="A20" s="60"/>
      <c r="B20" s="13" t="s">
        <v>237</v>
      </c>
      <c r="C20" s="13" t="s">
        <v>238</v>
      </c>
    </row>
    <row r="21" spans="1:11" ht="15" customHeight="1" x14ac:dyDescent="0.25">
      <c r="A21" s="14" t="s">
        <v>239</v>
      </c>
      <c r="B21" s="37">
        <f>SUM(B14:K14)</f>
        <v>19010.569140162377</v>
      </c>
      <c r="C21" s="37">
        <f>SUM(B17:K17)</f>
        <v>24981.050809105327</v>
      </c>
    </row>
    <row r="22" spans="1:11" ht="15" customHeight="1" x14ac:dyDescent="0.25">
      <c r="A22" s="14" t="s">
        <v>240</v>
      </c>
      <c r="B22" s="37">
        <f>IFERROR(K12*(1+$B$6)/($B$7-$B$6),0)</f>
        <v>35806.143454617544</v>
      </c>
      <c r="C22" s="37">
        <f>IFERROR(K15*(1+$C$6)/($C$7-$C$6),0)</f>
        <v>70995.514932944585</v>
      </c>
    </row>
    <row r="23" spans="1:11" ht="15" customHeight="1" x14ac:dyDescent="0.25">
      <c r="A23" s="14" t="s">
        <v>241</v>
      </c>
      <c r="B23" s="37">
        <f>B22*K13</f>
        <v>15226.881925746637</v>
      </c>
      <c r="C23" s="37">
        <f>C22*K16</f>
        <v>30191.476066437946</v>
      </c>
    </row>
    <row r="24" spans="1:11" ht="15" customHeight="1" x14ac:dyDescent="0.25">
      <c r="A24" s="18" t="s">
        <v>242</v>
      </c>
      <c r="B24" s="39">
        <f>B21+B23</f>
        <v>34237.451065909016</v>
      </c>
      <c r="C24" s="39">
        <f>C21+C23</f>
        <v>55172.526875543277</v>
      </c>
    </row>
    <row r="26" spans="1:11" ht="15" customHeight="1" x14ac:dyDescent="0.25">
      <c r="A26" s="5" t="s">
        <v>243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15" customHeight="1" x14ac:dyDescent="0.25">
      <c r="A27" s="14" t="s">
        <v>244</v>
      </c>
      <c r="B27" s="64">
        <f>Phase1_Anchor!B16</f>
        <v>1200</v>
      </c>
      <c r="C27" s="37">
        <f>B27</f>
        <v>1200</v>
      </c>
    </row>
    <row r="28" spans="1:11" ht="15" customHeight="1" x14ac:dyDescent="0.25">
      <c r="A28" s="14" t="s">
        <v>245</v>
      </c>
      <c r="B28" s="64">
        <f>Phase1_Anchor!B17</f>
        <v>50</v>
      </c>
      <c r="C28" s="37">
        <f>B28</f>
        <v>50</v>
      </c>
    </row>
    <row r="29" spans="1:11" ht="15" customHeight="1" x14ac:dyDescent="0.25">
      <c r="A29" s="14" t="s">
        <v>246</v>
      </c>
      <c r="B29" s="64">
        <f>Phase1_Anchor!B18</f>
        <v>0</v>
      </c>
      <c r="C29" s="37">
        <f>B29</f>
        <v>0</v>
      </c>
    </row>
    <row r="30" spans="1:11" ht="15" customHeight="1" x14ac:dyDescent="0.25">
      <c r="A30" s="14" t="s">
        <v>247</v>
      </c>
      <c r="B30" s="64">
        <f>Phase1_Anchor!B19</f>
        <v>100</v>
      </c>
      <c r="C30" s="37">
        <f>B30</f>
        <v>100</v>
      </c>
    </row>
    <row r="31" spans="1:11" ht="15" customHeight="1" x14ac:dyDescent="0.25">
      <c r="A31" s="18" t="s">
        <v>248</v>
      </c>
      <c r="B31" s="39">
        <f>B24-B27-B28-B29+B30</f>
        <v>33087.451065909016</v>
      </c>
      <c r="C31" s="39">
        <f>C24-C27-C28-C29+C30</f>
        <v>54022.526875543277</v>
      </c>
    </row>
    <row r="32" spans="1:11" ht="15" customHeight="1" x14ac:dyDescent="0.25">
      <c r="A32" s="14" t="s">
        <v>249</v>
      </c>
      <c r="B32" s="65">
        <f>Phase1_Anchor!B7</f>
        <v>520</v>
      </c>
      <c r="C32" s="66">
        <f>B32</f>
        <v>520</v>
      </c>
    </row>
    <row r="33" spans="1:11" ht="15" customHeight="1" x14ac:dyDescent="0.25">
      <c r="A33" s="18" t="s">
        <v>250</v>
      </c>
      <c r="B33" s="67">
        <f>IFERROR(B31/B32,0)</f>
        <v>63.62971358828657</v>
      </c>
      <c r="C33" s="67">
        <f>IFERROR(C31/C32,0)</f>
        <v>103.88947476066015</v>
      </c>
    </row>
    <row r="35" spans="1:11" ht="15" customHeight="1" x14ac:dyDescent="0.25">
      <c r="A35" s="5" t="s">
        <v>251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15" customHeight="1" x14ac:dyDescent="0.25">
      <c r="A36" s="14" t="s">
        <v>252</v>
      </c>
      <c r="B36" s="68">
        <f>IFERROR(B23/B24,0)</f>
        <v>0.44474344472764732</v>
      </c>
      <c r="C36" s="68">
        <f>IFERROR(C23/C24,0)</f>
        <v>0.54721938211282362</v>
      </c>
    </row>
    <row r="37" spans="1:11" ht="15" customHeight="1" x14ac:dyDescent="0.25">
      <c r="A37" s="14" t="s">
        <v>253</v>
      </c>
      <c r="B37" s="69">
        <f>IFERROR((1+$B$6)/($B$7-$B$6),0)</f>
        <v>11.202250407637447</v>
      </c>
      <c r="C37" s="69">
        <f>IFERROR((1+$C$6)/($C$7-$C$6),0)</f>
        <v>14.725461574244882</v>
      </c>
    </row>
    <row r="38" spans="1:11" ht="15" customHeight="1" x14ac:dyDescent="0.25">
      <c r="A38" s="14" t="s">
        <v>254</v>
      </c>
      <c r="B38" s="70">
        <f>K12</f>
        <v>3196.3348569860309</v>
      </c>
      <c r="C38" s="70">
        <f>K15</f>
        <v>4821.2760309746163</v>
      </c>
    </row>
    <row r="40" spans="1:11" ht="15" customHeight="1" x14ac:dyDescent="0.25">
      <c r="A40" s="89" t="s">
        <v>255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</row>
    <row r="41" spans="1:11" ht="15" customHeight="1" x14ac:dyDescent="0.25">
      <c r="B41" s="31" t="s">
        <v>237</v>
      </c>
      <c r="C41" s="31" t="s">
        <v>238</v>
      </c>
    </row>
    <row r="42" spans="1:11" ht="15" customHeight="1" x14ac:dyDescent="0.25">
      <c r="A42" s="20" t="s">
        <v>42</v>
      </c>
      <c r="B42" s="27">
        <v>3413.1</v>
      </c>
      <c r="C42" s="27">
        <v>3613.1</v>
      </c>
    </row>
    <row r="43" spans="1:11" ht="15" customHeight="1" x14ac:dyDescent="0.25">
      <c r="A43" s="20" t="s">
        <v>256</v>
      </c>
      <c r="B43" s="27">
        <v>1000</v>
      </c>
      <c r="C43" s="27">
        <v>1000</v>
      </c>
    </row>
    <row r="44" spans="1:11" ht="15" customHeight="1" x14ac:dyDescent="0.25">
      <c r="A44" s="20" t="s">
        <v>257</v>
      </c>
      <c r="B44" s="28">
        <f>Phase1_Anchor!B14*WACC_Build!B10*(1-WACC_Build!B11)</f>
        <v>86.9</v>
      </c>
      <c r="C44" s="28">
        <f>B44</f>
        <v>86.9</v>
      </c>
    </row>
    <row r="45" spans="1:11" ht="15" customHeight="1" x14ac:dyDescent="0.25">
      <c r="A45" s="30" t="s">
        <v>258</v>
      </c>
      <c r="B45" s="71">
        <f>B42-B43+B44</f>
        <v>2500</v>
      </c>
      <c r="C45" s="71">
        <f>C42-C43+C44</f>
        <v>2700</v>
      </c>
    </row>
  </sheetData>
  <mergeCells count="7">
    <mergeCell ref="A10:K10"/>
    <mergeCell ref="A1:K1"/>
    <mergeCell ref="A3:K3"/>
    <mergeCell ref="A19:K19"/>
    <mergeCell ref="A26:K26"/>
    <mergeCell ref="A35:K35"/>
    <mergeCell ref="A40:K4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30" customWidth="1"/>
    <col min="2" max="6" width="14" customWidth="1"/>
  </cols>
  <sheetData>
    <row r="1" spans="1:6" ht="15.75" customHeight="1" x14ac:dyDescent="0.25">
      <c r="A1" s="6" t="s">
        <v>259</v>
      </c>
      <c r="B1" s="6"/>
      <c r="C1" s="6"/>
      <c r="D1" s="6"/>
      <c r="E1" s="6"/>
      <c r="F1" s="6"/>
    </row>
    <row r="2" spans="1:6" ht="15" customHeight="1" x14ac:dyDescent="0.25">
      <c r="A2" s="19" t="s">
        <v>260</v>
      </c>
    </row>
    <row r="4" spans="1:6" ht="15" customHeight="1" x14ac:dyDescent="0.25">
      <c r="A4" s="5" t="s">
        <v>222</v>
      </c>
      <c r="B4" s="5"/>
      <c r="C4" s="5"/>
      <c r="D4" s="5"/>
      <c r="E4" s="5"/>
      <c r="F4" s="5"/>
    </row>
    <row r="5" spans="1:6" ht="15" customHeight="1" x14ac:dyDescent="0.25">
      <c r="A5" s="10" t="s">
        <v>202</v>
      </c>
      <c r="B5" s="72">
        <f>WACC_Build!B7</f>
        <v>9.103E-2</v>
      </c>
    </row>
    <row r="6" spans="1:6" ht="15" customHeight="1" x14ac:dyDescent="0.25">
      <c r="A6" s="10" t="s">
        <v>261</v>
      </c>
      <c r="B6" s="47">
        <v>0.02</v>
      </c>
    </row>
    <row r="7" spans="1:6" ht="15" customHeight="1" x14ac:dyDescent="0.25">
      <c r="A7" s="10" t="s">
        <v>262</v>
      </c>
      <c r="B7" s="47">
        <v>0.3</v>
      </c>
    </row>
    <row r="8" spans="1:6" ht="15" customHeight="1" x14ac:dyDescent="0.25">
      <c r="A8" s="10" t="s">
        <v>263</v>
      </c>
      <c r="B8" s="48">
        <v>40</v>
      </c>
    </row>
    <row r="10" spans="1:6" ht="15" customHeight="1" x14ac:dyDescent="0.25">
      <c r="A10" s="5" t="s">
        <v>264</v>
      </c>
      <c r="B10" s="5"/>
      <c r="C10" s="5"/>
      <c r="D10" s="5"/>
      <c r="E10" s="5"/>
      <c r="F10" s="5"/>
    </row>
    <row r="11" spans="1:6" ht="15" customHeight="1" x14ac:dyDescent="0.25">
      <c r="A11" s="13" t="s">
        <v>230</v>
      </c>
      <c r="B11" s="62">
        <v>1</v>
      </c>
      <c r="C11" s="62">
        <v>2</v>
      </c>
      <c r="D11" s="62">
        <v>3</v>
      </c>
      <c r="E11" s="62">
        <v>4</v>
      </c>
      <c r="F11" s="62">
        <v>5</v>
      </c>
    </row>
    <row r="12" spans="1:6" ht="15" customHeight="1" x14ac:dyDescent="0.25">
      <c r="A12" s="14" t="s">
        <v>265</v>
      </c>
      <c r="B12" s="40">
        <v>0.1</v>
      </c>
      <c r="C12" s="40">
        <v>0.1</v>
      </c>
      <c r="D12" s="40">
        <v>0.1</v>
      </c>
      <c r="E12" s="40">
        <v>0.1</v>
      </c>
      <c r="F12" s="40">
        <v>0.1</v>
      </c>
    </row>
    <row r="13" spans="1:6" ht="15" customHeight="1" x14ac:dyDescent="0.25">
      <c r="A13" s="14" t="s">
        <v>266</v>
      </c>
      <c r="B13" s="16">
        <f>$B$8</f>
        <v>40</v>
      </c>
      <c r="C13" s="16">
        <f>B13*(1+B12*(1-$B$7))</f>
        <v>42.800000000000004</v>
      </c>
      <c r="D13" s="16">
        <f>C13*(1+C12*(1-$B$7))</f>
        <v>45.796000000000006</v>
      </c>
      <c r="E13" s="16">
        <f>D13*(1+D12*(1-$B$7))</f>
        <v>49.001720000000013</v>
      </c>
      <c r="F13" s="16">
        <f>E13*(1+E12*(1-$B$7))</f>
        <v>52.43184040000002</v>
      </c>
    </row>
    <row r="14" spans="1:6" ht="15" customHeight="1" x14ac:dyDescent="0.25">
      <c r="A14" s="14" t="s">
        <v>267</v>
      </c>
      <c r="B14" s="16">
        <f>(B12-$B$5)*B13</f>
        <v>0.35880000000000023</v>
      </c>
      <c r="C14" s="16">
        <f>(C12-$B$5)*C13</f>
        <v>0.38391600000000026</v>
      </c>
      <c r="D14" s="16">
        <f>(D12-$B$5)*D13</f>
        <v>0.41079012000000031</v>
      </c>
      <c r="E14" s="16">
        <f>(E12-$B$5)*E13</f>
        <v>0.43954542840000038</v>
      </c>
      <c r="F14" s="16">
        <f>(F12-$B$5)*F13</f>
        <v>0.47031360838800046</v>
      </c>
    </row>
    <row r="15" spans="1:6" ht="15" customHeight="1" x14ac:dyDescent="0.25">
      <c r="A15" s="14" t="s">
        <v>268</v>
      </c>
      <c r="B15" s="16">
        <f>B14/(1+$B$5)^B11</f>
        <v>0.32886355095643588</v>
      </c>
      <c r="C15" s="16">
        <f>C14/(1+$B$5)^C11</f>
        <v>0.32252458642144255</v>
      </c>
      <c r="D15" s="16">
        <f>D14/(1+$B$5)^D11</f>
        <v>0.31630780773300782</v>
      </c>
      <c r="E15" s="16">
        <f>E14/(1+$B$5)^E11</f>
        <v>0.3102108597145069</v>
      </c>
      <c r="F15" s="16">
        <f>F14/(1+$B$5)^F11</f>
        <v>0.30423143258620056</v>
      </c>
    </row>
    <row r="16" spans="1:6" ht="15" customHeight="1" x14ac:dyDescent="0.25">
      <c r="A16" s="14" t="s">
        <v>269</v>
      </c>
      <c r="B16" s="40">
        <v>0.12</v>
      </c>
      <c r="C16" s="40">
        <v>0.12</v>
      </c>
      <c r="D16" s="40">
        <v>0.12</v>
      </c>
      <c r="E16" s="40">
        <v>0.12</v>
      </c>
      <c r="F16" s="40">
        <v>0.12</v>
      </c>
    </row>
    <row r="17" spans="1:6" ht="15" customHeight="1" x14ac:dyDescent="0.25">
      <c r="A17" s="14" t="s">
        <v>270</v>
      </c>
      <c r="B17" s="16">
        <f>$B$8</f>
        <v>40</v>
      </c>
      <c r="C17" s="16">
        <f>B17*(1+B16*(1-$B$7))</f>
        <v>43.36</v>
      </c>
      <c r="D17" s="16">
        <f>C17*(1+C16*(1-$B$7))</f>
        <v>47.00224</v>
      </c>
      <c r="E17" s="16">
        <f>D17*(1+D16*(1-$B$7))</f>
        <v>50.950428160000001</v>
      </c>
      <c r="F17" s="16">
        <f>E17*(1+E16*(1-$B$7))</f>
        <v>55.230264125440009</v>
      </c>
    </row>
    <row r="18" spans="1:6" ht="15" customHeight="1" x14ac:dyDescent="0.25">
      <c r="A18" s="14" t="s">
        <v>271</v>
      </c>
      <c r="B18" s="16">
        <f>(B16-$B$5)*B17</f>
        <v>1.1587999999999998</v>
      </c>
      <c r="C18" s="16">
        <f>(C16-$B$5)*C17</f>
        <v>1.2561391999999998</v>
      </c>
      <c r="D18" s="16">
        <f>(D16-$B$5)*D17</f>
        <v>1.3616548927999998</v>
      </c>
      <c r="E18" s="16">
        <f>(E16-$B$5)*E17</f>
        <v>1.4760339037951997</v>
      </c>
      <c r="F18" s="16">
        <f>(F16-$B$5)*F17</f>
        <v>1.6000207517139968</v>
      </c>
    </row>
    <row r="19" spans="1:6" ht="15" customHeight="1" x14ac:dyDescent="0.25">
      <c r="A19" s="14" t="s">
        <v>272</v>
      </c>
      <c r="B19" s="16">
        <f>B18/(1+$B$5)^B11</f>
        <v>1.0621156155192799</v>
      </c>
      <c r="C19" s="16">
        <f>C18/(1+$B$5)^C11</f>
        <v>1.0552719239827497</v>
      </c>
      <c r="D19" s="16">
        <f>D18/(1+$B$5)^D11</f>
        <v>1.0484723294476785</v>
      </c>
      <c r="E19" s="16">
        <f>E18/(1+$B$5)^E11</f>
        <v>1.0417165477771313</v>
      </c>
      <c r="F19" s="16">
        <f>F18/(1+$B$5)^F11</f>
        <v>1.0350042966649959</v>
      </c>
    </row>
    <row r="21" spans="1:6" ht="15" customHeight="1" x14ac:dyDescent="0.25">
      <c r="A21" s="5" t="s">
        <v>273</v>
      </c>
      <c r="B21" s="5"/>
      <c r="C21" s="5"/>
      <c r="D21" s="5"/>
      <c r="E21" s="5"/>
      <c r="F21" s="5"/>
    </row>
    <row r="22" spans="1:6" ht="15" customHeight="1" x14ac:dyDescent="0.25">
      <c r="A22" s="60"/>
      <c r="B22" s="13" t="s">
        <v>237</v>
      </c>
      <c r="C22" s="13" t="s">
        <v>238</v>
      </c>
    </row>
    <row r="23" spans="1:6" ht="15" customHeight="1" x14ac:dyDescent="0.25">
      <c r="A23" s="14" t="s">
        <v>274</v>
      </c>
      <c r="B23" s="16">
        <f>IFERROR(F14*(1+$B$6)/($B$5-$B$6)/(1+$B$5)^5,0)</f>
        <v>4.368802776825631</v>
      </c>
      <c r="C23" s="16">
        <f>IFERROR(F18*(1+$B$6)/($B$5-$B$6)/(1+$B$5)^5,0)</f>
        <v>14.862795756698521</v>
      </c>
    </row>
    <row r="24" spans="1:6" ht="15" customHeight="1" x14ac:dyDescent="0.25">
      <c r="A24" s="14" t="s">
        <v>275</v>
      </c>
      <c r="B24" s="16">
        <f>SUM(B15:F15)</f>
        <v>1.5821382374115938</v>
      </c>
      <c r="C24" s="16">
        <f>SUM(B19:F19)</f>
        <v>5.2425807133918347</v>
      </c>
    </row>
    <row r="25" spans="1:6" ht="15" customHeight="1" x14ac:dyDescent="0.25">
      <c r="A25" s="18" t="s">
        <v>250</v>
      </c>
      <c r="B25" s="67">
        <f>$B$8+B24+B23</f>
        <v>45.950941014237223</v>
      </c>
      <c r="C25" s="67">
        <f>$B$8+C24+C23</f>
        <v>60.105376470090349</v>
      </c>
    </row>
    <row r="27" spans="1:6" ht="15" customHeight="1" x14ac:dyDescent="0.25">
      <c r="A27" s="5" t="s">
        <v>276</v>
      </c>
      <c r="B27" s="5"/>
      <c r="C27" s="5"/>
      <c r="D27" s="5"/>
      <c r="E27" s="5"/>
      <c r="F27" s="5"/>
    </row>
    <row r="28" spans="1:6" ht="15" customHeight="1" x14ac:dyDescent="0.25">
      <c r="A28" s="10" t="s">
        <v>277</v>
      </c>
      <c r="B28" s="48">
        <v>2</v>
      </c>
    </row>
    <row r="29" spans="1:6" ht="15" customHeight="1" x14ac:dyDescent="0.25">
      <c r="A29" s="10" t="s">
        <v>278</v>
      </c>
      <c r="B29" s="73">
        <f>IFERROR(B28/($B$5-$B$6),0)</f>
        <v>28.157116711248769</v>
      </c>
    </row>
  </sheetData>
  <mergeCells count="5">
    <mergeCell ref="A1:F1"/>
    <mergeCell ref="A4:F4"/>
    <mergeCell ref="A10:F10"/>
    <mergeCell ref="A21:F21"/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showGridLines="0" zoomScaleNormal="100" workbookViewId="0">
      <selection sqref="A1:C1"/>
    </sheetView>
  </sheetViews>
  <sheetFormatPr defaultColWidth="8.7109375" defaultRowHeight="15" x14ac:dyDescent="0.25"/>
  <cols>
    <col min="1" max="1" width="30" customWidth="1"/>
    <col min="2" max="3" width="15" customWidth="1"/>
  </cols>
  <sheetData>
    <row r="1" spans="1:3" ht="15.75" customHeight="1" x14ac:dyDescent="0.25">
      <c r="A1" s="6" t="s">
        <v>279</v>
      </c>
      <c r="B1" s="6"/>
      <c r="C1" s="6"/>
    </row>
    <row r="3" spans="1:3" ht="15" customHeight="1" x14ac:dyDescent="0.25">
      <c r="A3" s="5" t="s">
        <v>280</v>
      </c>
      <c r="B3" s="5"/>
      <c r="C3" s="5"/>
    </row>
    <row r="4" spans="1:3" ht="15" customHeight="1" x14ac:dyDescent="0.25">
      <c r="A4" s="60"/>
      <c r="B4" s="13" t="s">
        <v>237</v>
      </c>
      <c r="C4" s="13" t="s">
        <v>238</v>
      </c>
    </row>
    <row r="5" spans="1:3" ht="15" customHeight="1" x14ac:dyDescent="0.25">
      <c r="A5" s="14" t="s">
        <v>281</v>
      </c>
      <c r="B5" s="38">
        <v>1500</v>
      </c>
      <c r="C5" s="37">
        <f>B5</f>
        <v>1500</v>
      </c>
    </row>
    <row r="6" spans="1:3" ht="15" customHeight="1" x14ac:dyDescent="0.25">
      <c r="A6" s="14" t="s">
        <v>282</v>
      </c>
      <c r="B6" s="40">
        <v>0.06</v>
      </c>
      <c r="C6" s="40">
        <v>6.7500000000000004E-2</v>
      </c>
    </row>
    <row r="7" spans="1:3" ht="15" customHeight="1" x14ac:dyDescent="0.25">
      <c r="A7" s="14" t="s">
        <v>283</v>
      </c>
      <c r="B7" s="37">
        <f>IFERROR(B5/B6,0)</f>
        <v>25000</v>
      </c>
      <c r="C7" s="37">
        <f>IFERROR(C5/C6,0)</f>
        <v>22222.222222222219</v>
      </c>
    </row>
    <row r="8" spans="1:3" ht="15" customHeight="1" x14ac:dyDescent="0.25">
      <c r="A8" s="14" t="s">
        <v>284</v>
      </c>
      <c r="B8" s="38">
        <v>200</v>
      </c>
      <c r="C8" s="37">
        <f>B8</f>
        <v>200</v>
      </c>
    </row>
    <row r="9" spans="1:3" ht="15" customHeight="1" x14ac:dyDescent="0.25">
      <c r="A9" s="14" t="s">
        <v>285</v>
      </c>
      <c r="B9" s="38">
        <v>5000</v>
      </c>
      <c r="C9" s="37">
        <f>B9</f>
        <v>5000</v>
      </c>
    </row>
    <row r="10" spans="1:3" ht="15" customHeight="1" x14ac:dyDescent="0.25">
      <c r="A10" s="14" t="s">
        <v>286</v>
      </c>
      <c r="B10" s="38">
        <v>300</v>
      </c>
      <c r="C10" s="37">
        <f>B10</f>
        <v>300</v>
      </c>
    </row>
    <row r="11" spans="1:3" ht="15" customHeight="1" x14ac:dyDescent="0.25">
      <c r="A11" s="18" t="s">
        <v>287</v>
      </c>
      <c r="B11" s="39">
        <f>B7+B8-B9-B10</f>
        <v>19900</v>
      </c>
      <c r="C11" s="39">
        <f>C7+C8-C9-C10</f>
        <v>17122.222222222219</v>
      </c>
    </row>
    <row r="12" spans="1:3" ht="15" customHeight="1" x14ac:dyDescent="0.25">
      <c r="A12" s="14" t="s">
        <v>288</v>
      </c>
      <c r="B12" s="36">
        <v>300</v>
      </c>
      <c r="C12" s="66">
        <f>B12</f>
        <v>300</v>
      </c>
    </row>
    <row r="13" spans="1:3" ht="15" customHeight="1" x14ac:dyDescent="0.25">
      <c r="A13" s="18" t="s">
        <v>289</v>
      </c>
      <c r="B13" s="67">
        <f>IFERROR(B11/B12,0)</f>
        <v>66.333333333333329</v>
      </c>
      <c r="C13" s="67">
        <f>IFERROR(C11/C12,0)</f>
        <v>57.074074074074062</v>
      </c>
    </row>
    <row r="15" spans="1:3" ht="15" customHeight="1" x14ac:dyDescent="0.25">
      <c r="A15" s="5" t="s">
        <v>290</v>
      </c>
      <c r="B15" s="5"/>
      <c r="C15" s="5"/>
    </row>
    <row r="16" spans="1:3" ht="15" customHeight="1" x14ac:dyDescent="0.25">
      <c r="A16" s="10" t="s">
        <v>142</v>
      </c>
      <c r="B16" s="48">
        <v>4</v>
      </c>
      <c r="C16" s="74">
        <f>B16</f>
        <v>4</v>
      </c>
    </row>
    <row r="17" spans="1:3" ht="15" customHeight="1" x14ac:dyDescent="0.25">
      <c r="A17" s="10" t="s">
        <v>291</v>
      </c>
      <c r="B17" s="47">
        <v>0.06</v>
      </c>
      <c r="C17" s="47">
        <v>6.5000000000000002E-2</v>
      </c>
    </row>
    <row r="18" spans="1:3" ht="15" customHeight="1" x14ac:dyDescent="0.25">
      <c r="A18" s="10" t="s">
        <v>292</v>
      </c>
      <c r="B18" s="73">
        <f>IFERROR(B16/B17,0)</f>
        <v>66.666666666666671</v>
      </c>
      <c r="C18" s="73">
        <f>IFERROR(C16/C17,0)</f>
        <v>61.538461538461533</v>
      </c>
    </row>
  </sheetData>
  <mergeCells count="3">
    <mergeCell ref="A1:C1"/>
    <mergeCell ref="A3:C3"/>
    <mergeCell ref="A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0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30" customWidth="1"/>
    <col min="2" max="6" width="14" customWidth="1"/>
  </cols>
  <sheetData>
    <row r="1" spans="1:6" ht="15.75" customHeight="1" x14ac:dyDescent="0.25">
      <c r="A1" s="6" t="s">
        <v>293</v>
      </c>
      <c r="B1" s="6"/>
      <c r="C1" s="6"/>
      <c r="D1" s="6"/>
      <c r="E1" s="6"/>
      <c r="F1" s="6"/>
    </row>
    <row r="3" spans="1:6" ht="15" customHeight="1" x14ac:dyDescent="0.25">
      <c r="A3" s="5" t="s">
        <v>294</v>
      </c>
      <c r="B3" s="5"/>
      <c r="C3" s="5"/>
      <c r="D3" s="5"/>
      <c r="E3" s="5"/>
      <c r="F3" s="5"/>
    </row>
    <row r="4" spans="1:6" ht="15" customHeight="1" x14ac:dyDescent="0.25">
      <c r="A4" s="10" t="s">
        <v>295</v>
      </c>
      <c r="B4" s="56">
        <f>FCFF_DCF!B15</f>
        <v>2970.0000000000005</v>
      </c>
    </row>
    <row r="5" spans="1:6" ht="15" customHeight="1" x14ac:dyDescent="0.25">
      <c r="A5" s="10" t="s">
        <v>244</v>
      </c>
      <c r="B5" s="56">
        <f>Phase1_Anchor!B16</f>
        <v>1200</v>
      </c>
    </row>
    <row r="6" spans="1:6" ht="15" customHeight="1" x14ac:dyDescent="0.25">
      <c r="A6" s="10" t="s">
        <v>245</v>
      </c>
      <c r="B6" s="56">
        <f>Phase1_Anchor!B17</f>
        <v>50</v>
      </c>
    </row>
    <row r="7" spans="1:6" ht="15" customHeight="1" x14ac:dyDescent="0.25">
      <c r="A7" s="10" t="s">
        <v>246</v>
      </c>
      <c r="B7" s="56">
        <f>Phase1_Anchor!B18</f>
        <v>0</v>
      </c>
    </row>
    <row r="8" spans="1:6" ht="15" customHeight="1" x14ac:dyDescent="0.25">
      <c r="A8" s="10" t="s">
        <v>247</v>
      </c>
      <c r="B8" s="56">
        <f>Phase1_Anchor!B19</f>
        <v>100</v>
      </c>
    </row>
    <row r="9" spans="1:6" ht="15" customHeight="1" x14ac:dyDescent="0.25">
      <c r="A9" s="10" t="s">
        <v>249</v>
      </c>
      <c r="B9" s="75">
        <f>Phase1_Anchor!B7</f>
        <v>520</v>
      </c>
    </row>
    <row r="10" spans="1:6" ht="15" customHeight="1" x14ac:dyDescent="0.25">
      <c r="A10" s="10" t="s">
        <v>296</v>
      </c>
      <c r="B10" s="72">
        <f>WACC_Build!B22</f>
        <v>8.9267777777777765E-2</v>
      </c>
    </row>
    <row r="12" spans="1:6" ht="15" customHeight="1" x14ac:dyDescent="0.25">
      <c r="A12" s="5" t="s">
        <v>297</v>
      </c>
      <c r="B12" s="5"/>
      <c r="C12" s="5"/>
      <c r="D12" s="5"/>
      <c r="E12" s="5"/>
      <c r="F12" s="5"/>
    </row>
    <row r="13" spans="1:6" ht="15" customHeight="1" x14ac:dyDescent="0.25">
      <c r="A13" s="76" t="s">
        <v>298</v>
      </c>
      <c r="B13" s="77">
        <v>0</v>
      </c>
      <c r="C13" s="77">
        <v>0.01</v>
      </c>
      <c r="D13" s="77">
        <v>0.02</v>
      </c>
      <c r="E13" s="77">
        <v>0.03</v>
      </c>
    </row>
    <row r="14" spans="1:6" ht="15" customHeight="1" x14ac:dyDescent="0.25">
      <c r="A14" s="78">
        <f>$B$10+(-0.01)</f>
        <v>7.926777777777777E-2</v>
      </c>
      <c r="B14" s="79">
        <f>IFERROR(IF($A14&gt;0,(($B$4/($A14-0))-$B$5-$B$6-$B$7+$B$8)/$B$9,"n/a"),"n/a")</f>
        <v>69.842184017605604</v>
      </c>
      <c r="C14" s="79">
        <f>IFERROR(IF($A14&gt;0.01,(($B$4/($A14-0.01))-$B$5-$B$6-$B$7+$B$8)/$B$9,"n/a"),"n/a")</f>
        <v>80.244383249448148</v>
      </c>
      <c r="D14" s="79">
        <f>IFERROR(IF($A14&gt;0.02,(($B$4/($A14-0.02))-$B$5-$B$6-$B$7+$B$8)/$B$9,"n/a"),"n/a")</f>
        <v>94.156820125376242</v>
      </c>
      <c r="E14" s="79">
        <f>IFERROR(IF($A14&gt;0.03,(($B$4/($A14-0.03))-$B$5-$B$6-$B$7+$B$8)/$B$9,"n/a"),"n/a")</f>
        <v>113.71693891571097</v>
      </c>
    </row>
    <row r="15" spans="1:6" ht="15" customHeight="1" x14ac:dyDescent="0.25">
      <c r="A15" s="78">
        <f>$B$10+(-0.005)</f>
        <v>8.4267777777777761E-2</v>
      </c>
      <c r="B15" s="79">
        <f>IFERROR(IF($A15&gt;0,(($B$4/($A15-0))-$B$5-$B$6-$B$7+$B$8)/$B$9,"n/a"),"n/a")</f>
        <v>65.566900844175038</v>
      </c>
      <c r="C15" s="79">
        <f>IFERROR(IF($A15&gt;0.01,(($B$4/($A15-0.01))-$B$5-$B$6-$B$7+$B$8)/$B$9,"n/a"),"n/a")</f>
        <v>74.693125074085131</v>
      </c>
      <c r="D15" s="79">
        <f>IFERROR(IF($A15&gt;0.02,(($B$4/($A15-0.02))-$B$5-$B$6-$B$7+$B$8)/$B$9,"n/a"),"n/a")</f>
        <v>86.659411476820452</v>
      </c>
      <c r="E15" s="79">
        <f>IFERROR(IF($A15&gt;0.03,(($B$4/($A15-0.03))-$B$5-$B$6-$B$7+$B$8)/$B$9,"n/a"),"n/a")</f>
        <v>103.03578684680122</v>
      </c>
    </row>
    <row r="16" spans="1:6" ht="15" customHeight="1" x14ac:dyDescent="0.25">
      <c r="A16" s="80">
        <f>$B$10</f>
        <v>8.9267777777777765E-2</v>
      </c>
      <c r="B16" s="79">
        <f>IFERROR(IF($A16&gt;0,(($B$4/($A16-0))-$B$5-$B$6-$B$7+$B$8)/$B$9,"n/a"),"n/a")</f>
        <v>61.770545597467738</v>
      </c>
      <c r="C16" s="79">
        <f>IFERROR(IF($A16&gt;0.01,(($B$4/($A16-0.01))-$B$5-$B$6-$B$7+$B$8)/$B$9,"n/a"),"n/a")</f>
        <v>69.842184017605604</v>
      </c>
      <c r="D16" s="79">
        <f>IFERROR(IF($A16&gt;0.02,(($B$4/($A16-0.02))-$B$5-$B$6-$B$7+$B$8)/$B$9,"n/a"),"n/a")</f>
        <v>80.244383249448163</v>
      </c>
      <c r="E16" s="79">
        <f>IFERROR(IF($A16&gt;0.03,(($B$4/($A16-0.03))-$B$5-$B$6-$B$7+$B$8)/$B$9,"n/a"),"n/a")</f>
        <v>94.156820125376242</v>
      </c>
    </row>
    <row r="17" spans="1:6" ht="15" customHeight="1" x14ac:dyDescent="0.25">
      <c r="A17" s="78">
        <f>$B$10+(0.005)</f>
        <v>9.426777777777777E-2</v>
      </c>
      <c r="B17" s="79">
        <f>IFERROR(IF($A17&gt;0,(($B$4/($A17-0))-$B$5-$B$6-$B$7+$B$8)/$B$9,"n/a"),"n/a")</f>
        <v>58.376910700831338</v>
      </c>
      <c r="C17" s="79">
        <f>IFERROR(IF($A17&gt;0.01,(($B$4/($A17-0.01))-$B$5-$B$6-$B$7+$B$8)/$B$9,"n/a"),"n/a")</f>
        <v>65.566900844175024</v>
      </c>
      <c r="D17" s="79">
        <f>IFERROR(IF($A17&gt;0.02,(($B$4/($A17-0.02))-$B$5-$B$6-$B$7+$B$8)/$B$9,"n/a"),"n/a")</f>
        <v>74.693125074085131</v>
      </c>
      <c r="E17" s="79">
        <f>IFERROR(IF($A17&gt;0.03,(($B$4/($A17-0.03))-$B$5-$B$6-$B$7+$B$8)/$B$9,"n/a"),"n/a")</f>
        <v>86.659411476820438</v>
      </c>
    </row>
    <row r="18" spans="1:6" ht="15" customHeight="1" x14ac:dyDescent="0.25">
      <c r="A18" s="78">
        <f>$B$10+(0.01)</f>
        <v>9.926777777777776E-2</v>
      </c>
      <c r="B18" s="79">
        <f>IFERROR(IF($A18&gt;0,(($B$4/($A18-0))-$B$5-$B$6-$B$7+$B$8)/$B$9,"n/a"),"n/a")</f>
        <v>55.325142517906777</v>
      </c>
      <c r="C18" s="79">
        <f>IFERROR(IF($A18&gt;0.01,(($B$4/($A18-0.01))-$B$5-$B$6-$B$7+$B$8)/$B$9,"n/a"),"n/a")</f>
        <v>61.770545597467738</v>
      </c>
      <c r="D18" s="79">
        <f>IFERROR(IF($A18&gt;0.02,(($B$4/($A18-0.02))-$B$5-$B$6-$B$7+$B$8)/$B$9,"n/a"),"n/a")</f>
        <v>69.842184017605618</v>
      </c>
      <c r="E18" s="79">
        <f>IFERROR(IF($A18&gt;0.03,(($B$4/($A18-0.03))-$B$5-$B$6-$B$7+$B$8)/$B$9,"n/a"),"n/a")</f>
        <v>80.244383249448163</v>
      </c>
    </row>
    <row r="19" spans="1:6" ht="15" customHeight="1" x14ac:dyDescent="0.25">
      <c r="A19" s="81" t="s">
        <v>299</v>
      </c>
    </row>
    <row r="20" spans="1:6" ht="15" customHeight="1" x14ac:dyDescent="0.25">
      <c r="A20" s="5" t="s">
        <v>300</v>
      </c>
      <c r="B20" s="5"/>
      <c r="C20" s="5"/>
      <c r="D20" s="5"/>
      <c r="E20" s="5"/>
      <c r="F20" s="5"/>
    </row>
    <row r="21" spans="1:6" ht="15" customHeight="1" x14ac:dyDescent="0.25">
      <c r="A21" s="10" t="s">
        <v>301</v>
      </c>
      <c r="B21" s="8" t="s">
        <v>302</v>
      </c>
    </row>
    <row r="22" spans="1:6" ht="15" customHeight="1" x14ac:dyDescent="0.25">
      <c r="A22" s="10" t="s">
        <v>303</v>
      </c>
      <c r="B22" s="47">
        <v>-0.05</v>
      </c>
    </row>
    <row r="23" spans="1:6" ht="15" customHeight="1" x14ac:dyDescent="0.25">
      <c r="A23" s="10" t="s">
        <v>304</v>
      </c>
      <c r="B23" s="82">
        <f>FCFF_DCF!C33</f>
        <v>103.88947476066015</v>
      </c>
    </row>
    <row r="24" spans="1:6" ht="15" customHeight="1" x14ac:dyDescent="0.25">
      <c r="A24" s="10" t="s">
        <v>305</v>
      </c>
      <c r="B24" s="74">
        <f>IFERROR((FCFF_DCF!C24*(1+B22)-$B$5-$B$6-$B$7+$B$8)/$B$9,0)</f>
        <v>98.584424099550219</v>
      </c>
    </row>
    <row r="25" spans="1:6" ht="15" customHeight="1" x14ac:dyDescent="0.25">
      <c r="A25" s="10" t="s">
        <v>306</v>
      </c>
      <c r="B25" s="42">
        <f>IFERROR(B24/B23-1,0)</f>
        <v>-5.1064370797250347E-2</v>
      </c>
    </row>
    <row r="27" spans="1:6" ht="15" customHeight="1" x14ac:dyDescent="0.25">
      <c r="A27" s="5" t="s">
        <v>307</v>
      </c>
      <c r="B27" s="5"/>
      <c r="C27" s="5"/>
      <c r="D27" s="5"/>
      <c r="E27" s="5"/>
      <c r="F27" s="5"/>
    </row>
    <row r="28" spans="1:6" ht="15" customHeight="1" x14ac:dyDescent="0.25">
      <c r="A28" s="10" t="s">
        <v>308</v>
      </c>
      <c r="B28" s="82">
        <f>FCFF_DCF!B33</f>
        <v>63.62971358828657</v>
      </c>
    </row>
    <row r="29" spans="1:6" ht="15" customHeight="1" x14ac:dyDescent="0.25">
      <c r="A29" s="10" t="s">
        <v>309</v>
      </c>
      <c r="B29" s="82">
        <f>FCFF_DCF!C33</f>
        <v>103.88947476066015</v>
      </c>
    </row>
    <row r="30" spans="1:6" ht="15" customHeight="1" x14ac:dyDescent="0.25">
      <c r="A30" s="10" t="s">
        <v>310</v>
      </c>
      <c r="B30" s="74">
        <f>AVERAGE(B28:B29)</f>
        <v>83.759594174473364</v>
      </c>
    </row>
    <row r="31" spans="1:6" ht="15" customHeight="1" x14ac:dyDescent="0.25">
      <c r="A31" s="10" t="s">
        <v>311</v>
      </c>
      <c r="B31" s="82">
        <f>Phase1_Anchor!B5</f>
        <v>100</v>
      </c>
    </row>
    <row r="32" spans="1:6" ht="15" customHeight="1" x14ac:dyDescent="0.25">
      <c r="A32" s="10" t="s">
        <v>24</v>
      </c>
      <c r="B32" s="55">
        <f>IFERROR((B30-B31)/B31,0)</f>
        <v>-0.16240405825526635</v>
      </c>
    </row>
    <row r="33" spans="1:8" ht="15" customHeight="1" x14ac:dyDescent="0.25">
      <c r="A33" s="10" t="s">
        <v>25</v>
      </c>
      <c r="B33" s="83" t="s">
        <v>26</v>
      </c>
    </row>
    <row r="34" spans="1:8" ht="15" customHeight="1" x14ac:dyDescent="0.25">
      <c r="A34" s="84" t="s">
        <v>312</v>
      </c>
    </row>
    <row r="35" spans="1:8" ht="15" customHeight="1" x14ac:dyDescent="0.25">
      <c r="A35" s="1" t="s">
        <v>313</v>
      </c>
      <c r="B35" s="1"/>
      <c r="C35" s="1"/>
      <c r="D35" s="1"/>
      <c r="E35" s="1"/>
      <c r="F35" s="1"/>
    </row>
    <row r="36" spans="1:8" ht="15" customHeight="1" x14ac:dyDescent="0.25">
      <c r="A36" s="1"/>
      <c r="B36" s="1"/>
      <c r="C36" s="1"/>
      <c r="D36" s="1"/>
      <c r="E36" s="1"/>
      <c r="F36" s="1"/>
    </row>
    <row r="38" spans="1:8" ht="15" customHeight="1" x14ac:dyDescent="0.25">
      <c r="A38" s="3" t="s">
        <v>314</v>
      </c>
      <c r="B38" s="3"/>
      <c r="C38" s="3"/>
      <c r="D38" s="3"/>
      <c r="E38" s="3"/>
      <c r="F38" s="3"/>
    </row>
    <row r="39" spans="1:8" ht="15" customHeight="1" x14ac:dyDescent="0.25">
      <c r="A39" s="20" t="s">
        <v>315</v>
      </c>
      <c r="B39" s="22">
        <f>FCFF_DCF!C5</f>
        <v>2700</v>
      </c>
    </row>
    <row r="40" spans="1:8" ht="15" customHeight="1" x14ac:dyDescent="0.25">
      <c r="A40" s="20" t="s">
        <v>316</v>
      </c>
      <c r="B40" s="21">
        <f>FCFF_DCF!C6</f>
        <v>0.02</v>
      </c>
    </row>
    <row r="41" spans="1:8" ht="15" customHeight="1" x14ac:dyDescent="0.25">
      <c r="A41" s="20" t="s">
        <v>317</v>
      </c>
      <c r="B41" s="21">
        <f>FCFF_DCF!C7</f>
        <v>8.9267777777777765E-2</v>
      </c>
    </row>
    <row r="42" spans="1:8" ht="15" customHeight="1" x14ac:dyDescent="0.25">
      <c r="A42" s="30" t="s">
        <v>318</v>
      </c>
      <c r="B42" s="24">
        <v>0.06</v>
      </c>
      <c r="C42" s="24">
        <v>0.08</v>
      </c>
      <c r="D42" s="24">
        <v>0.1</v>
      </c>
      <c r="E42" s="24">
        <v>0.12</v>
      </c>
      <c r="F42" s="24">
        <v>0.14000000000000001</v>
      </c>
    </row>
    <row r="43" spans="1:8" ht="15" customHeight="1" x14ac:dyDescent="0.25">
      <c r="A43" s="30" t="s">
        <v>319</v>
      </c>
      <c r="H43" s="30" t="s">
        <v>320</v>
      </c>
    </row>
    <row r="44" spans="1:8" ht="15" customHeight="1" x14ac:dyDescent="0.25">
      <c r="A44" s="85">
        <v>1</v>
      </c>
      <c r="B44" s="28">
        <f>$B$39*(1+(B$42+($B$40-B$42)*($A44-1)/9))</f>
        <v>2862</v>
      </c>
      <c r="C44" s="28">
        <f>$B$39*(1+(C$42+($B$40-C$42)*($A44-1)/9))</f>
        <v>2916</v>
      </c>
      <c r="D44" s="28">
        <f>$B$39*(1+(D$42+($B$40-D$42)*($A44-1)/9))</f>
        <v>2970.0000000000005</v>
      </c>
      <c r="E44" s="28">
        <f>$B$39*(1+(E$42+($B$40-E$42)*($A44-1)/9))</f>
        <v>3024.0000000000005</v>
      </c>
      <c r="F44" s="28">
        <f>$B$39*(1+(F$42+($B$40-F$42)*($A44-1)/9))</f>
        <v>3078.0000000000005</v>
      </c>
      <c r="H44" s="20">
        <f t="shared" ref="H44:H53" si="0">1/(1+$B$41)^$A44</f>
        <v>0.9180479037396172</v>
      </c>
    </row>
    <row r="45" spans="1:8" ht="15" customHeight="1" x14ac:dyDescent="0.25">
      <c r="A45" s="85">
        <v>2</v>
      </c>
      <c r="B45" s="28">
        <f t="shared" ref="B45:B53" si="1">B44*(1+(B$42+($B$40-B$42)*($A45-1)/9))</f>
        <v>3021</v>
      </c>
      <c r="C45" s="28">
        <f t="shared" ref="C45:C53" si="2">C44*(1+(C$42+($B$40-C$42)*($A45-1)/9))</f>
        <v>3129.8399999999997</v>
      </c>
      <c r="D45" s="28">
        <f t="shared" ref="D45:D53" si="3">D44*(1+(D$42+($B$40-D$42)*($A45-1)/9))</f>
        <v>3240.6000000000004</v>
      </c>
      <c r="E45" s="28">
        <f t="shared" ref="E45:E53" si="4">E44*(1+(E$42+($B$40-E$42)*($A45-1)/9))</f>
        <v>3353.28</v>
      </c>
      <c r="F45" s="28">
        <f t="shared" ref="F45:F53" si="5">F44*(1+(F$42+($B$40-F$42)*($A45-1)/9))</f>
        <v>3467.8800000000006</v>
      </c>
      <c r="H45" s="20">
        <f t="shared" si="0"/>
        <v>0.84281195356070537</v>
      </c>
    </row>
    <row r="46" spans="1:8" ht="15" customHeight="1" x14ac:dyDescent="0.25">
      <c r="A46" s="85">
        <v>3</v>
      </c>
      <c r="B46" s="28">
        <f t="shared" si="1"/>
        <v>3175.4066666666668</v>
      </c>
      <c r="C46" s="28">
        <f t="shared" si="2"/>
        <v>3338.4959999999996</v>
      </c>
      <c r="D46" s="28">
        <f t="shared" si="3"/>
        <v>3507.0493333333338</v>
      </c>
      <c r="E46" s="28">
        <f t="shared" si="4"/>
        <v>3681.1562666666669</v>
      </c>
      <c r="F46" s="28">
        <f t="shared" si="5"/>
        <v>3860.9064000000003</v>
      </c>
      <c r="H46" s="20">
        <f t="shared" si="0"/>
        <v>0.77374174721309708</v>
      </c>
    </row>
    <row r="47" spans="1:8" ht="15" customHeight="1" x14ac:dyDescent="0.25">
      <c r="A47" s="85">
        <v>4</v>
      </c>
      <c r="B47" s="28">
        <f t="shared" si="1"/>
        <v>3323.592311111111</v>
      </c>
      <c r="C47" s="28">
        <f t="shared" si="2"/>
        <v>3538.8057599999997</v>
      </c>
      <c r="D47" s="28">
        <f t="shared" si="3"/>
        <v>3764.2329511111116</v>
      </c>
      <c r="E47" s="28">
        <f t="shared" si="4"/>
        <v>4000.189809777778</v>
      </c>
      <c r="F47" s="28">
        <f t="shared" si="5"/>
        <v>4246.9970400000011</v>
      </c>
      <c r="H47" s="20">
        <f t="shared" si="0"/>
        <v>0.71033198906481254</v>
      </c>
    </row>
    <row r="48" spans="1:8" ht="15" customHeight="1" x14ac:dyDescent="0.25">
      <c r="A48" s="85">
        <v>5</v>
      </c>
      <c r="B48" s="28">
        <f t="shared" si="1"/>
        <v>3463.9217642469134</v>
      </c>
      <c r="C48" s="28">
        <f t="shared" si="2"/>
        <v>3727.5420671999996</v>
      </c>
      <c r="D48" s="28">
        <f t="shared" si="3"/>
        <v>4006.8168524049393</v>
      </c>
      <c r="E48" s="28">
        <f t="shared" si="4"/>
        <v>4302.4263731832107</v>
      </c>
      <c r="F48" s="28">
        <f t="shared" si="5"/>
        <v>4615.0701168000014</v>
      </c>
      <c r="H48" s="20">
        <f t="shared" si="0"/>
        <v>0.6521187935201439</v>
      </c>
    </row>
    <row r="49" spans="1:8" ht="15" customHeight="1" x14ac:dyDescent="0.25">
      <c r="A49" s="85">
        <v>6</v>
      </c>
      <c r="B49" s="28">
        <f t="shared" si="1"/>
        <v>3594.7810308962407</v>
      </c>
      <c r="C49" s="28">
        <f t="shared" si="2"/>
        <v>3901.4940303359995</v>
      </c>
      <c r="D49" s="28">
        <f t="shared" si="3"/>
        <v>4229.4177886496582</v>
      </c>
      <c r="E49" s="28">
        <f t="shared" si="4"/>
        <v>4579.6938505661292</v>
      </c>
      <c r="F49" s="28">
        <f t="shared" si="5"/>
        <v>4953.5085920320007</v>
      </c>
      <c r="H49" s="20">
        <f t="shared" si="0"/>
        <v>0.59867629138037626</v>
      </c>
    </row>
    <row r="50" spans="1:8" ht="15" customHeight="1" x14ac:dyDescent="0.25">
      <c r="A50" s="85">
        <v>7</v>
      </c>
      <c r="B50" s="28">
        <f t="shared" si="1"/>
        <v>3714.607065259449</v>
      </c>
      <c r="C50" s="28">
        <f t="shared" si="2"/>
        <v>4057.5537915494397</v>
      </c>
      <c r="D50" s="28">
        <f t="shared" si="3"/>
        <v>4426.790618786642</v>
      </c>
      <c r="E50" s="28">
        <f t="shared" si="4"/>
        <v>4823.9441892629893</v>
      </c>
      <c r="F50" s="28">
        <f t="shared" si="5"/>
        <v>5250.7191075539213</v>
      </c>
      <c r="H50" s="20">
        <f t="shared" si="0"/>
        <v>0.54961351432036265</v>
      </c>
    </row>
    <row r="51" spans="1:8" ht="15" customHeight="1" x14ac:dyDescent="0.25">
      <c r="A51" s="85">
        <v>8</v>
      </c>
      <c r="B51" s="28">
        <f t="shared" si="1"/>
        <v>3821.9179360336111</v>
      </c>
      <c r="C51" s="28">
        <f t="shared" si="2"/>
        <v>4192.8055846010884</v>
      </c>
      <c r="D51" s="28">
        <f t="shared" si="3"/>
        <v>4594.0249310519148</v>
      </c>
      <c r="E51" s="28">
        <f t="shared" si="4"/>
        <v>5027.6218328096484</v>
      </c>
      <c r="F51" s="28">
        <f t="shared" si="5"/>
        <v>5495.7526659064379</v>
      </c>
      <c r="H51" s="20">
        <f t="shared" si="0"/>
        <v>0.50457153468877303</v>
      </c>
    </row>
    <row r="52" spans="1:8" ht="15" customHeight="1" x14ac:dyDescent="0.25">
      <c r="A52" s="85">
        <v>9</v>
      </c>
      <c r="B52" s="28">
        <f t="shared" si="1"/>
        <v>3915.3425966922105</v>
      </c>
      <c r="C52" s="28">
        <f t="shared" si="2"/>
        <v>4304.6137335237836</v>
      </c>
      <c r="D52" s="28">
        <f t="shared" si="3"/>
        <v>4726.741206837859</v>
      </c>
      <c r="E52" s="28">
        <f t="shared" si="4"/>
        <v>5184.0367342748377</v>
      </c>
      <c r="F52" s="28">
        <f t="shared" si="5"/>
        <v>5678.9444214366531</v>
      </c>
      <c r="H52" s="20">
        <f t="shared" si="0"/>
        <v>0.46322083970770961</v>
      </c>
    </row>
    <row r="53" spans="1:8" ht="15" customHeight="1" x14ac:dyDescent="0.25">
      <c r="A53" s="85">
        <v>10</v>
      </c>
      <c r="B53" s="28">
        <f t="shared" si="1"/>
        <v>3993.6494486260549</v>
      </c>
      <c r="C53" s="28">
        <f t="shared" si="2"/>
        <v>4390.7060081942591</v>
      </c>
      <c r="D53" s="28">
        <f t="shared" si="3"/>
        <v>4821.2760309746163</v>
      </c>
      <c r="E53" s="28">
        <f t="shared" si="4"/>
        <v>5287.7174689603344</v>
      </c>
      <c r="F53" s="28">
        <f t="shared" si="5"/>
        <v>5792.5233098653862</v>
      </c>
      <c r="H53" s="20">
        <f t="shared" si="0"/>
        <v>0.42525892086216799</v>
      </c>
    </row>
    <row r="54" spans="1:8" ht="15" customHeight="1" x14ac:dyDescent="0.25">
      <c r="A54" s="20" t="s">
        <v>321</v>
      </c>
      <c r="B54" s="28">
        <f>SUMPRODUCT(B44:B53,$H$44:$H$53)</f>
        <v>21884.417891534042</v>
      </c>
      <c r="C54" s="28">
        <f>SUMPRODUCT(C44:C53,$H$44:$H$53)</f>
        <v>23385.117561657378</v>
      </c>
      <c r="D54" s="28">
        <f>SUMPRODUCT(D44:D53,$H$44:$H$53)</f>
        <v>24981.050809105327</v>
      </c>
      <c r="E54" s="28">
        <f>SUMPRODUCT(E44:E53,$H$44:$H$53)</f>
        <v>26677.638276662106</v>
      </c>
      <c r="F54" s="28">
        <f>SUMPRODUCT(F44:F53,$H$44:$H$53)</f>
        <v>28480.560747431198</v>
      </c>
    </row>
    <row r="55" spans="1:8" ht="15" customHeight="1" x14ac:dyDescent="0.25">
      <c r="A55" s="20" t="s">
        <v>322</v>
      </c>
      <c r="B55" s="28">
        <f>B53*(1+$B$40)/($B$41-$B$40)</f>
        <v>58808.331496747232</v>
      </c>
      <c r="C55" s="28">
        <f>C53*(1+$B$40)/($B$41-$B$40)</f>
        <v>64655.172607470704</v>
      </c>
      <c r="D55" s="28">
        <f>D53*(1+$B$40)/($B$41-$B$40)</f>
        <v>70995.514932944585</v>
      </c>
      <c r="E55" s="28">
        <f>E53*(1+$B$40)/($B$41-$B$40)</f>
        <v>77864.080404638808</v>
      </c>
      <c r="F55" s="28">
        <f>F53*(1+$B$40)/($B$41-$B$40)</f>
        <v>85297.579417340516</v>
      </c>
    </row>
    <row r="56" spans="1:8" ht="15" customHeight="1" x14ac:dyDescent="0.25">
      <c r="A56" s="20" t="s">
        <v>323</v>
      </c>
      <c r="B56" s="28">
        <f>B55/(1+$B$41)^10</f>
        <v>25008.767590011372</v>
      </c>
      <c r="C56" s="28">
        <f>C55/(1+$B$41)^10</f>
        <v>27495.188931210196</v>
      </c>
      <c r="D56" s="28">
        <f>D55/(1+$B$41)^10</f>
        <v>30191.476066437946</v>
      </c>
      <c r="E56" s="28">
        <f>E55/(1+$B$41)^10</f>
        <v>33112.394806801778</v>
      </c>
      <c r="F56" s="28">
        <f>F55/(1+$B$41)^10</f>
        <v>36273.556575173301</v>
      </c>
    </row>
    <row r="57" spans="1:8" ht="15" customHeight="1" x14ac:dyDescent="0.25">
      <c r="A57" s="20" t="s">
        <v>324</v>
      </c>
      <c r="B57" s="28">
        <f>B54+B56</f>
        <v>46893.185481545413</v>
      </c>
      <c r="C57" s="28">
        <f>C54+C56</f>
        <v>50880.306492867574</v>
      </c>
      <c r="D57" s="28">
        <f>D54+D56</f>
        <v>55172.526875543277</v>
      </c>
      <c r="E57" s="28">
        <f>E54+E56</f>
        <v>59790.033083463888</v>
      </c>
      <c r="F57" s="28">
        <f>F54+F56</f>
        <v>64754.117322604499</v>
      </c>
    </row>
    <row r="58" spans="1:8" ht="15" customHeight="1" x14ac:dyDescent="0.25">
      <c r="A58" s="20" t="s">
        <v>325</v>
      </c>
      <c r="B58" s="28">
        <f>B57-Phase1_Anchor!$B$16-Phase1_Anchor!$B$17-Phase1_Anchor!$B$18+Phase1_Anchor!$B$19</f>
        <v>45743.185481545413</v>
      </c>
      <c r="C58" s="28">
        <f>C57-Phase1_Anchor!$B$16-Phase1_Anchor!$B$17-Phase1_Anchor!$B$18+Phase1_Anchor!$B$19</f>
        <v>49730.306492867574</v>
      </c>
      <c r="D58" s="28">
        <f>D57-Phase1_Anchor!$B$16-Phase1_Anchor!$B$17-Phase1_Anchor!$B$18+Phase1_Anchor!$B$19</f>
        <v>54022.526875543277</v>
      </c>
      <c r="E58" s="28">
        <f>E57-Phase1_Anchor!$B$16-Phase1_Anchor!$B$17-Phase1_Anchor!$B$18+Phase1_Anchor!$B$19</f>
        <v>58640.033083463888</v>
      </c>
      <c r="F58" s="28">
        <f>F57-Phase1_Anchor!$B$16-Phase1_Anchor!$B$17-Phase1_Anchor!$B$18+Phase1_Anchor!$B$19</f>
        <v>63604.117322604499</v>
      </c>
    </row>
    <row r="59" spans="1:8" ht="15" customHeight="1" x14ac:dyDescent="0.25">
      <c r="A59" s="30" t="s">
        <v>250</v>
      </c>
      <c r="B59" s="86">
        <f>IFERROR(B58/Phase1_Anchor!$B$7,0)</f>
        <v>87.967664387587334</v>
      </c>
      <c r="C59" s="86">
        <f>IFERROR(C58/Phase1_Anchor!$B$7,0)</f>
        <v>95.635204793976101</v>
      </c>
      <c r="D59" s="86">
        <f>IFERROR(D58/Phase1_Anchor!$B$7,0)</f>
        <v>103.88947476066015</v>
      </c>
      <c r="E59" s="86">
        <f>IFERROR(E58/Phase1_Anchor!$B$7,0)</f>
        <v>112.7692943912767</v>
      </c>
      <c r="F59" s="86">
        <f>IFERROR(F58/Phase1_Anchor!$B$7,0)</f>
        <v>122.31561023577788</v>
      </c>
    </row>
    <row r="60" spans="1:8" ht="15" customHeight="1" x14ac:dyDescent="0.25">
      <c r="A60" s="20" t="s">
        <v>326</v>
      </c>
      <c r="B60" s="29">
        <f>IFERROR((B59-Phase1_Anchor!$B$5)/Phase1_Anchor!$B$5,0)</f>
        <v>-0.12032335612412666</v>
      </c>
      <c r="C60" s="29">
        <f>IFERROR((C59-Phase1_Anchor!$B$5)/Phase1_Anchor!$B$5,0)</f>
        <v>-4.3647952060238991E-2</v>
      </c>
      <c r="D60" s="29">
        <f>IFERROR((D59-Phase1_Anchor!$B$5)/Phase1_Anchor!$B$5,0)</f>
        <v>3.8894747606601499E-2</v>
      </c>
      <c r="E60" s="29">
        <f>IFERROR((E59-Phase1_Anchor!$B$5)/Phase1_Anchor!$B$5,0)</f>
        <v>0.12769294391276703</v>
      </c>
      <c r="F60" s="29">
        <f>IFERROR((F59-Phase1_Anchor!$B$5)/Phase1_Anchor!$B$5,0)</f>
        <v>0.22315610235777883</v>
      </c>
    </row>
  </sheetData>
  <mergeCells count="7">
    <mergeCell ref="A35:F36"/>
    <mergeCell ref="A38:F38"/>
    <mergeCell ref="A1:F1"/>
    <mergeCell ref="A3:F3"/>
    <mergeCell ref="A12:F12"/>
    <mergeCell ref="A20:F20"/>
    <mergeCell ref="A27:F2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Control</vt:lpstr>
      <vt:lpstr>Phase1_Anchor</vt:lpstr>
      <vt:lpstr>Phase2_UnitEcon</vt:lpstr>
      <vt:lpstr>Phase3_Forensic</vt:lpstr>
      <vt:lpstr>WACC_Build</vt:lpstr>
      <vt:lpstr>FCFF_DCF</vt:lpstr>
      <vt:lpstr>Val_Fin_RI</vt:lpstr>
      <vt:lpstr>Val_REIT_NAV</vt:lpstr>
      <vt:lpstr>Phase5_Verdict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AlQaseer</cp:lastModifiedBy>
  <cp:revision>0</cp:revision>
  <dcterms:created xsi:type="dcterms:W3CDTF">2026-05-29T18:33:51Z</dcterms:created>
  <dcterms:modified xsi:type="dcterms:W3CDTF">2026-05-31T15:25:29Z</dcterms:modified>
  <dc:language>en-US</dc:language>
</cp:coreProperties>
</file>